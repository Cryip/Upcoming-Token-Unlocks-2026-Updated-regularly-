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ken Unlocks in Feb26" sheetId="1" r:id="rId5"/>
  </sheets>
  <definedNames/>
  <calcPr/>
</workbook>
</file>

<file path=xl/sharedStrings.xml><?xml version="1.0" encoding="utf-8"?>
<sst xmlns="http://schemas.openxmlformats.org/spreadsheetml/2006/main" count="505" uniqueCount="411">
  <si>
    <t>Project Name</t>
  </si>
  <si>
    <t>Price ($)</t>
  </si>
  <si>
    <t>24h price Change (%)</t>
  </si>
  <si>
    <t>Reported Market Cap</t>
  </si>
  <si>
    <t>Released Percentage
The percentage of supply released compared to max supply.</t>
  </si>
  <si>
    <t>Upcoming Unlock Value</t>
  </si>
  <si>
    <t>% of circulating Supply</t>
  </si>
  <si>
    <t>GFAL</t>
  </si>
  <si>
    <t>$7.57M</t>
  </si>
  <si>
    <t>$81.05K</t>
  </si>
  <si>
    <t>$111.07K</t>
  </si>
  <si>
    <t>WMTX</t>
  </si>
  <si>
    <t>$58.42M</t>
  </si>
  <si>
    <t>$353.14K</t>
  </si>
  <si>
    <t>ENA</t>
  </si>
  <si>
    <t>$1.11B</t>
  </si>
  <si>
    <t>$5.65M</t>
  </si>
  <si>
    <t>$29.55M</t>
  </si>
  <si>
    <t>CXT</t>
  </si>
  <si>
    <t>$5.83M</t>
  </si>
  <si>
    <t>$24.25K</t>
  </si>
  <si>
    <t>$82.76K</t>
  </si>
  <si>
    <t>HONEY</t>
  </si>
  <si>
    <t>$24.77M</t>
  </si>
  <si>
    <t>$154.98K</t>
  </si>
  <si>
    <t>SVL</t>
  </si>
  <si>
    <t>$43.03M</t>
  </si>
  <si>
    <t>$105.13K</t>
  </si>
  <si>
    <t>$272.79K</t>
  </si>
  <si>
    <t>HMX</t>
  </si>
  <si>
    <t>--</t>
  </si>
  <si>
    <t>$246.42K</t>
  </si>
  <si>
    <t>$7.75K</t>
  </si>
  <si>
    <t>ACS</t>
  </si>
  <si>
    <t>$9.59M</t>
  </si>
  <si>
    <t>$58.43K</t>
  </si>
  <si>
    <t>DEVVE</t>
  </si>
  <si>
    <t>$7.47M</t>
  </si>
  <si>
    <t>$71.18K</t>
  </si>
  <si>
    <t>IOTA</t>
  </si>
  <si>
    <t>$313.01M</t>
  </si>
  <si>
    <t>$906.60K</t>
  </si>
  <si>
    <t>MMT</t>
  </si>
  <si>
    <t>$34.62M</t>
  </si>
  <si>
    <t>$836.14K</t>
  </si>
  <si>
    <t>NAVX</t>
  </si>
  <si>
    <t>$7.63M</t>
  </si>
  <si>
    <t>$27.14K</t>
  </si>
  <si>
    <t>$105.05K</t>
  </si>
  <si>
    <t>AERO</t>
  </si>
  <si>
    <t>$357.53M</t>
  </si>
  <si>
    <t>$1.44M</t>
  </si>
  <si>
    <t>AURORA</t>
  </si>
  <si>
    <t>$24.53M</t>
  </si>
  <si>
    <t>$193.18K</t>
  </si>
  <si>
    <t>NEXT</t>
  </si>
  <si>
    <t>$1.55M</t>
  </si>
  <si>
    <t>DCK</t>
  </si>
  <si>
    <t>$1.08M</t>
  </si>
  <si>
    <t>$6.97K</t>
  </si>
  <si>
    <t>$14.24K</t>
  </si>
  <si>
    <t>ACE</t>
  </si>
  <si>
    <t>$18.42M</t>
  </si>
  <si>
    <t>$87.62K</t>
  </si>
  <si>
    <t>$252.90K</t>
  </si>
  <si>
    <t>RNBW</t>
  </si>
  <si>
    <t>TGE Launching</t>
  </si>
  <si>
    <t>XDC</t>
  </si>
  <si>
    <t>$664.46M</t>
  </si>
  <si>
    <t>$29.29M</t>
  </si>
  <si>
    <t>AA</t>
  </si>
  <si>
    <t>$59.09K</t>
  </si>
  <si>
    <t>MAVIA</t>
  </si>
  <si>
    <t>$2.31M</t>
  </si>
  <si>
    <t>$532.88K</t>
  </si>
  <si>
    <t>HYPE</t>
  </si>
  <si>
    <t>$7.37B</t>
  </si>
  <si>
    <t>$306.43M</t>
  </si>
  <si>
    <t>NTX</t>
  </si>
  <si>
    <t>$6.48M</t>
  </si>
  <si>
    <t>$20.72K</t>
  </si>
  <si>
    <t>NYAN</t>
  </si>
  <si>
    <t>$92.67K</t>
  </si>
  <si>
    <t>$2.03K</t>
  </si>
  <si>
    <t>W</t>
  </si>
  <si>
    <t>$126.65M</t>
  </si>
  <si>
    <t>$1.20M</t>
  </si>
  <si>
    <t>BERA</t>
  </si>
  <si>
    <t>$102.29M</t>
  </si>
  <si>
    <t>$30.82M</t>
  </si>
  <si>
    <t>$31.69M</t>
  </si>
  <si>
    <t>AXS</t>
  </si>
  <si>
    <t>$292.48M</t>
  </si>
  <si>
    <t>$1.14M</t>
  </si>
  <si>
    <t>RED</t>
  </si>
  <si>
    <t>$67.83M</t>
  </si>
  <si>
    <t>$1.23M</t>
  </si>
  <si>
    <t>BB</t>
  </si>
  <si>
    <t>$15.38M</t>
  </si>
  <si>
    <t>$1.12M</t>
  </si>
  <si>
    <t>$1.18M</t>
  </si>
  <si>
    <t>HFT</t>
  </si>
  <si>
    <t>$15.83M</t>
  </si>
  <si>
    <t>$270.50K</t>
  </si>
  <si>
    <t>$274.31K</t>
  </si>
  <si>
    <t>NYM</t>
  </si>
  <si>
    <t>$22.32M</t>
  </si>
  <si>
    <t>$52.92K</t>
  </si>
  <si>
    <t>IN</t>
  </si>
  <si>
    <t>$17.65M</t>
  </si>
  <si>
    <t>$360.40K</t>
  </si>
  <si>
    <t>$416.95K</t>
  </si>
  <si>
    <t>FORT</t>
  </si>
  <si>
    <t>$10.79M</t>
  </si>
  <si>
    <t>KMNO</t>
  </si>
  <si>
    <t>$130.07M</t>
  </si>
  <si>
    <t>$3.40M</t>
  </si>
  <si>
    <t>MLK</t>
  </si>
  <si>
    <t>$33.52M</t>
  </si>
  <si>
    <t>$122.19K</t>
  </si>
  <si>
    <t>VRTX</t>
  </si>
  <si>
    <t>$52.53K</t>
  </si>
  <si>
    <t>SXT</t>
  </si>
  <si>
    <t>$76.90M</t>
  </si>
  <si>
    <t>$668.74K</t>
  </si>
  <si>
    <t>MOVE</t>
  </si>
  <si>
    <t>$86.02M</t>
  </si>
  <si>
    <t>$4.44M</t>
  </si>
  <si>
    <t>COPI</t>
  </si>
  <si>
    <t>$66.04K</t>
  </si>
  <si>
    <t>GODS</t>
  </si>
  <si>
    <t>$18.19M</t>
  </si>
  <si>
    <t>$120.26K</t>
  </si>
  <si>
    <t>$40.78K</t>
  </si>
  <si>
    <t>ME</t>
  </si>
  <si>
    <t>$70.08M</t>
  </si>
  <si>
    <t>$1.75M</t>
  </si>
  <si>
    <t>TRUF</t>
  </si>
  <si>
    <t>$1.87M</t>
  </si>
  <si>
    <t>$21.19K</t>
  </si>
  <si>
    <t>$11.84K</t>
  </si>
  <si>
    <t>LINEA</t>
  </si>
  <si>
    <t>$90.10M</t>
  </si>
  <si>
    <t>$6.46M</t>
  </si>
  <si>
    <t>APT</t>
  </si>
  <si>
    <t>$977.24M</t>
  </si>
  <si>
    <t>$14.48M</t>
  </si>
  <si>
    <t>$1.51M</t>
  </si>
  <si>
    <t>AVAX</t>
  </si>
  <si>
    <t>$4.37B</t>
  </si>
  <si>
    <t>$16.83M</t>
  </si>
  <si>
    <t>$7.07M</t>
  </si>
  <si>
    <t>AGI</t>
  </si>
  <si>
    <t>$30.53M</t>
  </si>
  <si>
    <t>$911.98K</t>
  </si>
  <si>
    <t>PUFFER</t>
  </si>
  <si>
    <t>$14.66M</t>
  </si>
  <si>
    <t>$759.65K</t>
  </si>
  <si>
    <t>$1.93K</t>
  </si>
  <si>
    <t>IO</t>
  </si>
  <si>
    <t>$35.25M</t>
  </si>
  <si>
    <t>$1.66M</t>
  </si>
  <si>
    <t>$83.80K</t>
  </si>
  <si>
    <t>LAYER</t>
  </si>
  <si>
    <t>$22.40M</t>
  </si>
  <si>
    <t>$2.86M</t>
  </si>
  <si>
    <t>DCB</t>
  </si>
  <si>
    <t>$1.02M</t>
  </si>
  <si>
    <t>$21.03K</t>
  </si>
  <si>
    <t>HTM</t>
  </si>
  <si>
    <t>$1.26M</t>
  </si>
  <si>
    <t>$6.08K</t>
  </si>
  <si>
    <t>PEAQ</t>
  </si>
  <si>
    <t>$35.52M</t>
  </si>
  <si>
    <t>$1.68M</t>
  </si>
  <si>
    <t>$51.12K</t>
  </si>
  <si>
    <t>$174.36K</t>
  </si>
  <si>
    <t>CHEEL</t>
  </si>
  <si>
    <t>$2.92M</t>
  </si>
  <si>
    <t>CYBER</t>
  </si>
  <si>
    <t>$47.41M</t>
  </si>
  <si>
    <t>$1.65M</t>
  </si>
  <si>
    <t>GSWIFT</t>
  </si>
  <si>
    <t>$535.74K</t>
  </si>
  <si>
    <t>$6.35K</t>
  </si>
  <si>
    <t>HOOK</t>
  </si>
  <si>
    <t>$9.83M</t>
  </si>
  <si>
    <t>$124.73K</t>
  </si>
  <si>
    <t>GAL</t>
  </si>
  <si>
    <t>$37.88M</t>
  </si>
  <si>
    <t>$173.96K</t>
  </si>
  <si>
    <t>TRIBL</t>
  </si>
  <si>
    <t>$682.22M</t>
  </si>
  <si>
    <t>XCN</t>
  </si>
  <si>
    <t>$211.78M</t>
  </si>
  <si>
    <t>$1.70M</t>
  </si>
  <si>
    <t>WCT</t>
  </si>
  <si>
    <t>$12.23M</t>
  </si>
  <si>
    <t>$827.72K</t>
  </si>
  <si>
    <t>$22.21K</t>
  </si>
  <si>
    <t>CONX</t>
  </si>
  <si>
    <t>$30.61M</t>
  </si>
  <si>
    <t>$17.79M</t>
  </si>
  <si>
    <t>STRK</t>
  </si>
  <si>
    <t>$300.84M</t>
  </si>
  <si>
    <t>$7.23M</t>
  </si>
  <si>
    <t>CYPR</t>
  </si>
  <si>
    <t>$1.62M</t>
  </si>
  <si>
    <t>$25.55K</t>
  </si>
  <si>
    <t>SEI</t>
  </si>
  <si>
    <t>$581.14M</t>
  </si>
  <si>
    <t>$4.88M</t>
  </si>
  <si>
    <t>$1.78M</t>
  </si>
  <si>
    <t>ARB</t>
  </si>
  <si>
    <t>$811.58M</t>
  </si>
  <si>
    <t>$12.89M</t>
  </si>
  <si>
    <t>$466.18K</t>
  </si>
  <si>
    <t>ASTR</t>
  </si>
  <si>
    <t>$76.85M</t>
  </si>
  <si>
    <t>$86.67K</t>
  </si>
  <si>
    <t>MMX</t>
  </si>
  <si>
    <t>$3.80M</t>
  </si>
  <si>
    <t>$36.92K</t>
  </si>
  <si>
    <t>FLIX</t>
  </si>
  <si>
    <t>$1.79M</t>
  </si>
  <si>
    <t>$30.61K</t>
  </si>
  <si>
    <t>PYR</t>
  </si>
  <si>
    <t>$8.81M</t>
  </si>
  <si>
    <t>$14.60K</t>
  </si>
  <si>
    <t>YALA</t>
  </si>
  <si>
    <t>$3.22M</t>
  </si>
  <si>
    <t>$119.78K</t>
  </si>
  <si>
    <t>YZY</t>
  </si>
  <si>
    <t>$42.81M</t>
  </si>
  <si>
    <t>$20.59M</t>
  </si>
  <si>
    <t>ZK</t>
  </si>
  <si>
    <t>$249.03M</t>
  </si>
  <si>
    <t>$5.66M</t>
  </si>
  <si>
    <t>SOLV</t>
  </si>
  <si>
    <t>$14.15M</t>
  </si>
  <si>
    <t>$5.81M</t>
  </si>
  <si>
    <t>APE</t>
  </si>
  <si>
    <t>$136.14M</t>
  </si>
  <si>
    <t>$2.22M</t>
  </si>
  <si>
    <t>BMT</t>
  </si>
  <si>
    <t>$4.79M</t>
  </si>
  <si>
    <t>$198.05K</t>
  </si>
  <si>
    <t>ROSE</t>
  </si>
  <si>
    <t>$138.28M</t>
  </si>
  <si>
    <t>$1.03M</t>
  </si>
  <si>
    <t>ZKJ</t>
  </si>
  <si>
    <t>$13.56M</t>
  </si>
  <si>
    <t>$485.73K</t>
  </si>
  <si>
    <t>PIXEL</t>
  </si>
  <si>
    <t>$5.03M</t>
  </si>
  <si>
    <t>$595.10K</t>
  </si>
  <si>
    <t>ZRO</t>
  </si>
  <si>
    <t>$373.68M</t>
  </si>
  <si>
    <t>$47.30M</t>
  </si>
  <si>
    <t>KAITO</t>
  </si>
  <si>
    <t>$87.34M</t>
  </si>
  <si>
    <t>$11.80M</t>
  </si>
  <si>
    <t>SLF</t>
  </si>
  <si>
    <t>$60.72K</t>
  </si>
  <si>
    <t>UDS</t>
  </si>
  <si>
    <t>$280.82M</t>
  </si>
  <si>
    <t>$4.84M</t>
  </si>
  <si>
    <t>VOXEL</t>
  </si>
  <si>
    <t>$2.30M</t>
  </si>
  <si>
    <t>$9.56K</t>
  </si>
  <si>
    <t>$5.58K</t>
  </si>
  <si>
    <t>DMC</t>
  </si>
  <si>
    <t>$408.64K</t>
  </si>
  <si>
    <t>ID</t>
  </si>
  <si>
    <t>$24.52M</t>
  </si>
  <si>
    <t>$720.74K</t>
  </si>
  <si>
    <t>MBG</t>
  </si>
  <si>
    <t>$59.23M</t>
  </si>
  <si>
    <t>$8.41M</t>
  </si>
  <si>
    <t>GAU</t>
  </si>
  <si>
    <t>$108.12K</t>
  </si>
  <si>
    <t>KARRAT</t>
  </si>
  <si>
    <t>$3.60M</t>
  </si>
  <si>
    <t>$70.68K</t>
  </si>
  <si>
    <t>XMW</t>
  </si>
  <si>
    <t>$11.46M</t>
  </si>
  <si>
    <t>$135.97K</t>
  </si>
  <si>
    <t>$39.12K</t>
  </si>
  <si>
    <t>MURA</t>
  </si>
  <si>
    <t>$5.01B</t>
  </si>
  <si>
    <t>$44.70K</t>
  </si>
  <si>
    <t>WIFI</t>
  </si>
  <si>
    <t>$285.84K</t>
  </si>
  <si>
    <t>AVAIL</t>
  </si>
  <si>
    <t>$19.37M</t>
  </si>
  <si>
    <t>$1.16M</t>
  </si>
  <si>
    <t>SOON</t>
  </si>
  <si>
    <t>$81.80M</t>
  </si>
  <si>
    <t>$4.36M</t>
  </si>
  <si>
    <t>ANIME</t>
  </si>
  <si>
    <t>$34.24M</t>
  </si>
  <si>
    <t>$806.29K</t>
  </si>
  <si>
    <t>MET</t>
  </si>
  <si>
    <t>$119.47M</t>
  </si>
  <si>
    <t>DOLO</t>
  </si>
  <si>
    <t>$16.31M</t>
  </si>
  <si>
    <t>$41.28K</t>
  </si>
  <si>
    <t>GGP</t>
  </si>
  <si>
    <t>$503.19K</t>
  </si>
  <si>
    <t>$4.98K</t>
  </si>
  <si>
    <t>NEWT</t>
  </si>
  <si>
    <t>$18.28M</t>
  </si>
  <si>
    <t>$531.63K</t>
  </si>
  <si>
    <t>SOSO</t>
  </si>
  <si>
    <t>$149.71M</t>
  </si>
  <si>
    <t>$7.27M</t>
  </si>
  <si>
    <t>NIL</t>
  </si>
  <si>
    <t>$16.22M</t>
  </si>
  <si>
    <t>$578.01K</t>
  </si>
  <si>
    <t>MON</t>
  </si>
  <si>
    <t>$198.10M</t>
  </si>
  <si>
    <t>$3.11M</t>
  </si>
  <si>
    <t>ACA</t>
  </si>
  <si>
    <t>$6.24M</t>
  </si>
  <si>
    <t>$24.90K</t>
  </si>
  <si>
    <t>GTAI</t>
  </si>
  <si>
    <t>$22.73K</t>
  </si>
  <si>
    <t>H</t>
  </si>
  <si>
    <t>$228.32M</t>
  </si>
  <si>
    <t>$13.20M</t>
  </si>
  <si>
    <t>VENOM</t>
  </si>
  <si>
    <t>$68.69M</t>
  </si>
  <si>
    <t>$1.91M</t>
  </si>
  <si>
    <t>ALT</t>
  </si>
  <si>
    <t>$53.35M</t>
  </si>
  <si>
    <t>$2.35M</t>
  </si>
  <si>
    <t>PARTI</t>
  </si>
  <si>
    <t>$17.42M</t>
  </si>
  <si>
    <t>$506.26K</t>
  </si>
  <si>
    <t>XPL</t>
  </si>
  <si>
    <t>$228.79M</t>
  </si>
  <si>
    <t>$9.43M</t>
  </si>
  <si>
    <t>FT</t>
  </si>
  <si>
    <t>$201.21K</t>
  </si>
  <si>
    <t>MIRA</t>
  </si>
  <si>
    <t>$21.56M</t>
  </si>
  <si>
    <t>$664.56K</t>
  </si>
  <si>
    <t>SAHARA</t>
  </si>
  <si>
    <t>$52.98M</t>
  </si>
  <si>
    <t>$2.52M</t>
  </si>
  <si>
    <t>HUMA</t>
  </si>
  <si>
    <t>$43.82M</t>
  </si>
  <si>
    <t>$3.20M</t>
  </si>
  <si>
    <t>BLAST</t>
  </si>
  <si>
    <t>$33.32M</t>
  </si>
  <si>
    <t>$533.35K</t>
  </si>
  <si>
    <t>ALOT</t>
  </si>
  <si>
    <t>$3.73K</t>
  </si>
  <si>
    <t>APEX</t>
  </si>
  <si>
    <t>$40.21M</t>
  </si>
  <si>
    <t>$934.35K</t>
  </si>
  <si>
    <t>STIK</t>
  </si>
  <si>
    <t>$656.20K</t>
  </si>
  <si>
    <t>YGG</t>
  </si>
  <si>
    <t>$32.63M</t>
  </si>
  <si>
    <t>$404.29K</t>
  </si>
  <si>
    <t>BIM</t>
  </si>
  <si>
    <t>$34.18M</t>
  </si>
  <si>
    <t>$74.58K</t>
  </si>
  <si>
    <t>CELO</t>
  </si>
  <si>
    <t>$57.15M</t>
  </si>
  <si>
    <t>$258.47K</t>
  </si>
  <si>
    <t>PRIME</t>
  </si>
  <si>
    <t>$35.78M</t>
  </si>
  <si>
    <t>$261.84K</t>
  </si>
  <si>
    <t>FET</t>
  </si>
  <si>
    <t>$435.38M</t>
  </si>
  <si>
    <t>$523.02K</t>
  </si>
  <si>
    <t>FLOCK</t>
  </si>
  <si>
    <t>$18.75M</t>
  </si>
  <si>
    <t>$1.05M</t>
  </si>
  <si>
    <t>DICE</t>
  </si>
  <si>
    <t>AGIX</t>
  </si>
  <si>
    <t>$21.55M</t>
  </si>
  <si>
    <t>$524.85K</t>
  </si>
  <si>
    <t>ZORA</t>
  </si>
  <si>
    <t>$137.27M</t>
  </si>
  <si>
    <t>$5.11M</t>
  </si>
  <si>
    <t>OP</t>
  </si>
  <si>
    <t>$458.16M</t>
  </si>
  <si>
    <t>$7.37M</t>
  </si>
  <si>
    <t>REZ</t>
  </si>
  <si>
    <t>$17.14M</t>
  </si>
  <si>
    <t>$1.61M</t>
  </si>
  <si>
    <t>GUN</t>
  </si>
  <si>
    <t>$44.61M</t>
  </si>
  <si>
    <t>SOPH</t>
  </si>
  <si>
    <t>$23.38M</t>
  </si>
  <si>
    <t>$293.01K</t>
  </si>
  <si>
    <t>GRASS</t>
  </si>
  <si>
    <t>$102.65M</t>
  </si>
  <si>
    <t>$11.98M</t>
  </si>
  <si>
    <t>JUP</t>
  </si>
  <si>
    <t>$576.05M</t>
  </si>
  <si>
    <t>$44.96M</t>
  </si>
  <si>
    <t>TREE</t>
  </si>
  <si>
    <t>$11.21M</t>
  </si>
  <si>
    <t>$1.24M</t>
  </si>
  <si>
    <t>MANTA</t>
  </si>
  <si>
    <t>$36.06M</t>
  </si>
  <si>
    <t>$145.42K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</si>
</sst>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0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3.0"/>
    <col customWidth="1" min="7" max="7" width="15.7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/>
    </row>
    <row r="2">
      <c r="A2" s="4" t="s">
        <v>7</v>
      </c>
      <c r="B2" s="5">
        <v>0.001441</v>
      </c>
      <c r="C2" s="6">
        <f>+0.24%</f>
        <v>0.0024</v>
      </c>
      <c r="D2" s="4" t="s">
        <v>8</v>
      </c>
      <c r="E2" s="7">
        <v>0.6408</v>
      </c>
      <c r="F2" s="4" t="s">
        <v>9</v>
      </c>
      <c r="G2" s="4" t="s">
        <v>10</v>
      </c>
      <c r="H2" s="4"/>
    </row>
    <row r="3">
      <c r="A3" s="4" t="s">
        <v>11</v>
      </c>
      <c r="B3" s="5">
        <v>0.071</v>
      </c>
      <c r="C3" s="7">
        <v>-0.1198</v>
      </c>
      <c r="D3" s="4" t="s">
        <v>12</v>
      </c>
      <c r="E3" s="7">
        <v>0.5273</v>
      </c>
      <c r="F3" s="4" t="s">
        <v>13</v>
      </c>
      <c r="G3" s="4" t="s">
        <v>13</v>
      </c>
      <c r="H3" s="4"/>
    </row>
    <row r="4">
      <c r="A4" s="4" t="s">
        <v>14</v>
      </c>
      <c r="B4" s="5">
        <v>0.139</v>
      </c>
      <c r="C4" s="7">
        <v>-0.0509</v>
      </c>
      <c r="D4" s="4" t="s">
        <v>15</v>
      </c>
      <c r="E4" s="7">
        <v>0.4941</v>
      </c>
      <c r="F4" s="4" t="s">
        <v>16</v>
      </c>
      <c r="G4" s="4" t="s">
        <v>17</v>
      </c>
      <c r="H4" s="4"/>
    </row>
    <row r="5">
      <c r="A5" s="4" t="s">
        <v>18</v>
      </c>
      <c r="B5" s="5">
        <v>0.005821</v>
      </c>
      <c r="C5" s="7">
        <v>-0.0588</v>
      </c>
      <c r="D5" s="4" t="s">
        <v>19</v>
      </c>
      <c r="E5" s="7">
        <v>0.6064</v>
      </c>
      <c r="F5" s="4" t="s">
        <v>20</v>
      </c>
      <c r="G5" s="4" t="s">
        <v>21</v>
      </c>
      <c r="H5" s="4"/>
    </row>
    <row r="6">
      <c r="A6" s="4" t="s">
        <v>22</v>
      </c>
      <c r="B6" s="5">
        <v>0.004468</v>
      </c>
      <c r="C6" s="7">
        <v>-0.0607</v>
      </c>
      <c r="D6" s="4" t="s">
        <v>23</v>
      </c>
      <c r="E6" s="7">
        <v>0.719</v>
      </c>
      <c r="F6" s="4" t="s">
        <v>24</v>
      </c>
      <c r="G6" s="4" t="s">
        <v>24</v>
      </c>
      <c r="H6" s="4"/>
    </row>
    <row r="7">
      <c r="A7" s="4" t="s">
        <v>25</v>
      </c>
      <c r="B7" s="5">
        <v>0.022</v>
      </c>
      <c r="C7" s="7">
        <v>-0.025</v>
      </c>
      <c r="D7" s="4" t="s">
        <v>26</v>
      </c>
      <c r="E7" s="7">
        <v>0.822</v>
      </c>
      <c r="F7" s="4" t="s">
        <v>27</v>
      </c>
      <c r="G7" s="4" t="s">
        <v>28</v>
      </c>
      <c r="H7" s="4"/>
    </row>
    <row r="8">
      <c r="A8" s="4" t="s">
        <v>29</v>
      </c>
      <c r="B8" s="5">
        <v>0.054</v>
      </c>
      <c r="C8" s="4" t="s">
        <v>30</v>
      </c>
      <c r="D8" s="4" t="s">
        <v>31</v>
      </c>
      <c r="E8" s="7">
        <v>0.7371</v>
      </c>
      <c r="F8" s="4" t="s">
        <v>32</v>
      </c>
      <c r="G8" s="4" t="s">
        <v>32</v>
      </c>
      <c r="H8" s="4"/>
    </row>
    <row r="9">
      <c r="A9" s="4" t="s">
        <v>33</v>
      </c>
      <c r="B9" s="5">
        <v>2.13E-4</v>
      </c>
      <c r="C9" s="7">
        <v>-0.0362</v>
      </c>
      <c r="D9" s="4" t="s">
        <v>34</v>
      </c>
      <c r="E9" s="7">
        <v>0.095</v>
      </c>
      <c r="F9" s="4" t="s">
        <v>35</v>
      </c>
      <c r="G9" s="4" t="s">
        <v>35</v>
      </c>
      <c r="H9" s="4"/>
    </row>
    <row r="10">
      <c r="A10" s="4" t="s">
        <v>36</v>
      </c>
      <c r="B10" s="5">
        <v>0.085</v>
      </c>
      <c r="C10" s="7">
        <v>-0.0494</v>
      </c>
      <c r="D10" s="4" t="s">
        <v>37</v>
      </c>
      <c r="E10" s="7">
        <v>0.3441</v>
      </c>
      <c r="F10" s="4" t="s">
        <v>38</v>
      </c>
      <c r="G10" s="4" t="s">
        <v>38</v>
      </c>
      <c r="H10" s="4"/>
    </row>
    <row r="11">
      <c r="A11" s="4" t="s">
        <v>39</v>
      </c>
      <c r="B11" s="5">
        <v>0.073</v>
      </c>
      <c r="C11" s="7">
        <v>-0.0584</v>
      </c>
      <c r="D11" s="4" t="s">
        <v>40</v>
      </c>
      <c r="E11" s="7">
        <v>0.8274</v>
      </c>
      <c r="F11" s="4" t="s">
        <v>41</v>
      </c>
      <c r="G11" s="4" t="s">
        <v>41</v>
      </c>
      <c r="H11" s="4"/>
    </row>
    <row r="12">
      <c r="A12" s="4" t="s">
        <v>42</v>
      </c>
      <c r="B12" s="5">
        <v>0.17</v>
      </c>
      <c r="C12" s="7">
        <v>-0.0718</v>
      </c>
      <c r="D12" s="4" t="s">
        <v>43</v>
      </c>
      <c r="E12" s="7">
        <v>0.0415</v>
      </c>
      <c r="F12" s="4" t="s">
        <v>44</v>
      </c>
      <c r="G12" s="4" t="s">
        <v>44</v>
      </c>
      <c r="H12" s="4"/>
    </row>
    <row r="13">
      <c r="A13" s="4" t="s">
        <v>45</v>
      </c>
      <c r="B13" s="5">
        <v>0.009348</v>
      </c>
      <c r="C13" s="7">
        <v>-0.0249</v>
      </c>
      <c r="D13" s="4" t="s">
        <v>46</v>
      </c>
      <c r="E13" s="7">
        <v>0.7823</v>
      </c>
      <c r="F13" s="4" t="s">
        <v>47</v>
      </c>
      <c r="G13" s="4" t="s">
        <v>48</v>
      </c>
      <c r="H13" s="4"/>
    </row>
    <row r="14">
      <c r="A14" s="4" t="s">
        <v>49</v>
      </c>
      <c r="B14" s="5">
        <v>0.39</v>
      </c>
      <c r="C14" s="7">
        <v>-0.0487</v>
      </c>
      <c r="D14" s="4" t="s">
        <v>50</v>
      </c>
      <c r="E14" s="7">
        <v>0.6124</v>
      </c>
      <c r="F14" s="5">
        <v>1.17</v>
      </c>
      <c r="G14" s="4" t="s">
        <v>51</v>
      </c>
      <c r="H14" s="4"/>
    </row>
    <row r="15">
      <c r="A15" s="4" t="s">
        <v>52</v>
      </c>
      <c r="B15" s="5">
        <v>0.036</v>
      </c>
      <c r="C15" s="7">
        <v>-0.0109</v>
      </c>
      <c r="D15" s="4" t="s">
        <v>53</v>
      </c>
      <c r="E15" s="7">
        <v>0.4927</v>
      </c>
      <c r="F15" s="4" t="s">
        <v>54</v>
      </c>
      <c r="G15" s="4" t="s">
        <v>54</v>
      </c>
      <c r="H15" s="4"/>
    </row>
    <row r="16">
      <c r="A16" s="4" t="s">
        <v>55</v>
      </c>
      <c r="B16" s="4" t="s">
        <v>30</v>
      </c>
      <c r="C16" s="4" t="s">
        <v>30</v>
      </c>
      <c r="D16" s="4" t="s">
        <v>56</v>
      </c>
      <c r="E16" s="7">
        <v>0.3656</v>
      </c>
      <c r="F16" s="5">
        <v>0.0</v>
      </c>
      <c r="G16" s="4" t="s">
        <v>30</v>
      </c>
      <c r="H16" s="4"/>
    </row>
    <row r="17">
      <c r="A17" s="4" t="s">
        <v>57</v>
      </c>
      <c r="B17" s="5">
        <v>0.00154</v>
      </c>
      <c r="C17" s="7">
        <v>-0.1404</v>
      </c>
      <c r="D17" s="4" t="s">
        <v>58</v>
      </c>
      <c r="E17" s="7">
        <v>0.9209</v>
      </c>
      <c r="F17" s="4" t="s">
        <v>59</v>
      </c>
      <c r="G17" s="4" t="s">
        <v>60</v>
      </c>
      <c r="H17" s="4"/>
    </row>
    <row r="18">
      <c r="A18" s="4" t="s">
        <v>61</v>
      </c>
      <c r="B18" s="5">
        <v>0.211</v>
      </c>
      <c r="C18" s="6">
        <f>+2.88%</f>
        <v>0.0288</v>
      </c>
      <c r="D18" s="4" t="s">
        <v>62</v>
      </c>
      <c r="E18" s="7">
        <v>0.6006</v>
      </c>
      <c r="F18" s="4" t="s">
        <v>63</v>
      </c>
      <c r="G18" s="4" t="s">
        <v>64</v>
      </c>
      <c r="H18" s="4"/>
    </row>
    <row r="19">
      <c r="A19" s="4" t="s">
        <v>65</v>
      </c>
      <c r="B19" s="4" t="s">
        <v>30</v>
      </c>
      <c r="C19" s="4" t="s">
        <v>30</v>
      </c>
      <c r="D19" s="4" t="s">
        <v>30</v>
      </c>
      <c r="E19" s="4" t="s">
        <v>30</v>
      </c>
      <c r="F19" s="4" t="s">
        <v>66</v>
      </c>
      <c r="G19" s="4" t="s">
        <v>30</v>
      </c>
      <c r="H19" s="4"/>
    </row>
    <row r="20">
      <c r="A20" s="4" t="s">
        <v>67</v>
      </c>
      <c r="B20" s="5">
        <v>0.035</v>
      </c>
      <c r="C20" s="7">
        <v>-0.0262</v>
      </c>
      <c r="D20" s="4" t="s">
        <v>68</v>
      </c>
      <c r="E20" s="7">
        <v>0.6064</v>
      </c>
      <c r="F20" s="4" t="s">
        <v>69</v>
      </c>
      <c r="G20" s="4" t="s">
        <v>69</v>
      </c>
      <c r="H20" s="4"/>
    </row>
    <row r="21">
      <c r="A21" s="4" t="s">
        <v>70</v>
      </c>
      <c r="B21" s="5">
        <v>2.38E-4</v>
      </c>
      <c r="C21" s="4" t="s">
        <v>30</v>
      </c>
      <c r="D21" s="4" t="s">
        <v>71</v>
      </c>
      <c r="E21" s="7">
        <v>0.0539</v>
      </c>
      <c r="F21" s="5">
        <v>47.69</v>
      </c>
      <c r="G21" s="5">
        <v>47.69</v>
      </c>
      <c r="H21" s="4"/>
    </row>
    <row r="22">
      <c r="A22" s="4" t="s">
        <v>72</v>
      </c>
      <c r="B22" s="5">
        <v>0.045</v>
      </c>
      <c r="C22" s="7">
        <v>-0.0152</v>
      </c>
      <c r="D22" s="4" t="s">
        <v>73</v>
      </c>
      <c r="E22" s="7">
        <v>0.3286</v>
      </c>
      <c r="F22" s="4" t="s">
        <v>74</v>
      </c>
      <c r="G22" s="4" t="s">
        <v>74</v>
      </c>
      <c r="H22" s="4"/>
    </row>
    <row r="23">
      <c r="A23" s="4" t="s">
        <v>75</v>
      </c>
      <c r="B23" s="5">
        <v>30.9</v>
      </c>
      <c r="C23" s="7">
        <v>-0.0535</v>
      </c>
      <c r="D23" s="4" t="s">
        <v>76</v>
      </c>
      <c r="E23" s="7">
        <v>0.3955</v>
      </c>
      <c r="F23" s="4" t="s">
        <v>77</v>
      </c>
      <c r="G23" s="4" t="s">
        <v>77</v>
      </c>
      <c r="H23" s="4"/>
    </row>
    <row r="24">
      <c r="A24" s="4" t="s">
        <v>78</v>
      </c>
      <c r="B24" s="5">
        <v>0.008151</v>
      </c>
      <c r="C24" s="7">
        <v>-0.0904</v>
      </c>
      <c r="D24" s="4" t="s">
        <v>79</v>
      </c>
      <c r="E24" s="7">
        <v>0.9619</v>
      </c>
      <c r="F24" s="4" t="s">
        <v>80</v>
      </c>
      <c r="G24" s="4" t="s">
        <v>80</v>
      </c>
      <c r="H24" s="4"/>
    </row>
    <row r="25">
      <c r="A25" s="4" t="s">
        <v>81</v>
      </c>
      <c r="B25" s="5">
        <v>6.32E-4</v>
      </c>
      <c r="C25" s="7">
        <v>-0.2122</v>
      </c>
      <c r="D25" s="4" t="s">
        <v>82</v>
      </c>
      <c r="E25" s="7">
        <v>0.2278</v>
      </c>
      <c r="F25" s="4" t="s">
        <v>83</v>
      </c>
      <c r="G25" s="4" t="s">
        <v>83</v>
      </c>
      <c r="H25" s="4"/>
    </row>
    <row r="26">
      <c r="A26" s="4" t="s">
        <v>84</v>
      </c>
      <c r="B26" s="5">
        <v>0.024</v>
      </c>
      <c r="C26" s="7">
        <v>-0.0763</v>
      </c>
      <c r="D26" s="4" t="s">
        <v>85</v>
      </c>
      <c r="E26" s="7">
        <v>0.5316</v>
      </c>
      <c r="F26" s="4" t="s">
        <v>86</v>
      </c>
      <c r="G26" s="4" t="s">
        <v>51</v>
      </c>
      <c r="H26" s="4"/>
    </row>
    <row r="27">
      <c r="A27" s="4" t="s">
        <v>87</v>
      </c>
      <c r="B27" s="5">
        <v>0.484</v>
      </c>
      <c r="C27" s="7">
        <v>-0.0943</v>
      </c>
      <c r="D27" s="4" t="s">
        <v>88</v>
      </c>
      <c r="E27" s="7">
        <v>0.2054</v>
      </c>
      <c r="F27" s="4" t="s">
        <v>89</v>
      </c>
      <c r="G27" s="4" t="s">
        <v>90</v>
      </c>
      <c r="H27" s="4"/>
    </row>
    <row r="28">
      <c r="A28" s="4" t="s">
        <v>91</v>
      </c>
      <c r="B28" s="5">
        <v>1.75</v>
      </c>
      <c r="C28" s="7">
        <v>-0.0677</v>
      </c>
      <c r="D28" s="4" t="s">
        <v>92</v>
      </c>
      <c r="E28" s="7">
        <v>0.9952</v>
      </c>
      <c r="F28" s="4" t="s">
        <v>93</v>
      </c>
      <c r="G28" s="4" t="s">
        <v>93</v>
      </c>
      <c r="H28" s="4"/>
    </row>
    <row r="29">
      <c r="A29" s="4" t="s">
        <v>94</v>
      </c>
      <c r="B29" s="5">
        <v>0.221</v>
      </c>
      <c r="C29" s="7">
        <v>-0.0588</v>
      </c>
      <c r="D29" s="4" t="s">
        <v>95</v>
      </c>
      <c r="E29" s="7">
        <v>0.2477</v>
      </c>
      <c r="F29" s="4" t="s">
        <v>96</v>
      </c>
      <c r="G29" s="4" t="s">
        <v>96</v>
      </c>
      <c r="H29" s="4"/>
    </row>
    <row r="30">
      <c r="A30" s="4" t="s">
        <v>97</v>
      </c>
      <c r="B30" s="5">
        <v>0.038</v>
      </c>
      <c r="C30" s="7">
        <v>-0.0575</v>
      </c>
      <c r="D30" s="4" t="s">
        <v>98</v>
      </c>
      <c r="E30" s="7">
        <v>0.4794</v>
      </c>
      <c r="F30" s="4" t="s">
        <v>99</v>
      </c>
      <c r="G30" s="4" t="s">
        <v>100</v>
      </c>
      <c r="H30" s="4"/>
    </row>
    <row r="31">
      <c r="A31" s="4" t="s">
        <v>101</v>
      </c>
      <c r="B31" s="5">
        <v>0.023</v>
      </c>
      <c r="C31" s="7">
        <v>-0.0421</v>
      </c>
      <c r="D31" s="4" t="s">
        <v>102</v>
      </c>
      <c r="E31" s="7">
        <v>0.7687</v>
      </c>
      <c r="F31" s="4" t="s">
        <v>103</v>
      </c>
      <c r="G31" s="4" t="s">
        <v>104</v>
      </c>
      <c r="H31" s="4"/>
    </row>
    <row r="32">
      <c r="A32" s="4" t="s">
        <v>105</v>
      </c>
      <c r="B32" s="5">
        <v>0.027</v>
      </c>
      <c r="C32" s="7">
        <v>-0.0153</v>
      </c>
      <c r="D32" s="4" t="s">
        <v>106</v>
      </c>
      <c r="E32" s="7">
        <v>0.9013</v>
      </c>
      <c r="F32" s="4" t="s">
        <v>107</v>
      </c>
      <c r="G32" s="4" t="s">
        <v>107</v>
      </c>
      <c r="H32" s="4"/>
    </row>
    <row r="33">
      <c r="A33" s="4" t="s">
        <v>108</v>
      </c>
      <c r="B33" s="5">
        <v>0.061</v>
      </c>
      <c r="C33" s="7">
        <v>-0.015</v>
      </c>
      <c r="D33" s="4" t="s">
        <v>109</v>
      </c>
      <c r="E33" s="7">
        <v>0.2987</v>
      </c>
      <c r="F33" s="4" t="s">
        <v>110</v>
      </c>
      <c r="G33" s="4" t="s">
        <v>111</v>
      </c>
      <c r="H33" s="4"/>
    </row>
    <row r="34">
      <c r="A34" s="4" t="s">
        <v>112</v>
      </c>
      <c r="B34" s="5">
        <v>0.017</v>
      </c>
      <c r="C34" s="7">
        <v>-0.0328</v>
      </c>
      <c r="D34" s="4" t="s">
        <v>113</v>
      </c>
      <c r="E34" s="7">
        <v>0.6148</v>
      </c>
      <c r="F34" s="5">
        <v>857.93</v>
      </c>
      <c r="G34" s="5">
        <v>857.93</v>
      </c>
      <c r="H34" s="4"/>
    </row>
    <row r="35">
      <c r="A35" s="4" t="s">
        <v>114</v>
      </c>
      <c r="B35" s="5">
        <v>0.034</v>
      </c>
      <c r="C35" s="7">
        <v>-0.0302</v>
      </c>
      <c r="D35" s="4" t="s">
        <v>115</v>
      </c>
      <c r="E35" s="7">
        <v>0.6463</v>
      </c>
      <c r="F35" s="4" t="s">
        <v>116</v>
      </c>
      <c r="G35" s="4" t="s">
        <v>116</v>
      </c>
      <c r="H35" s="4"/>
    </row>
    <row r="36">
      <c r="A36" s="4" t="s">
        <v>117</v>
      </c>
      <c r="B36" s="5">
        <v>0.064</v>
      </c>
      <c r="C36" s="7">
        <v>-0.0021</v>
      </c>
      <c r="D36" s="4" t="s">
        <v>118</v>
      </c>
      <c r="E36" s="7">
        <v>0.7697</v>
      </c>
      <c r="F36" s="4" t="s">
        <v>119</v>
      </c>
      <c r="G36" s="4" t="s">
        <v>119</v>
      </c>
      <c r="H36" s="4"/>
    </row>
    <row r="37">
      <c r="A37" s="4" t="s">
        <v>120</v>
      </c>
      <c r="B37" s="5">
        <v>9.9E-4</v>
      </c>
      <c r="C37" s="7">
        <v>-0.358</v>
      </c>
      <c r="D37" s="4" t="s">
        <v>121</v>
      </c>
      <c r="E37" s="7">
        <v>0.6445</v>
      </c>
      <c r="F37" s="5">
        <v>795.36</v>
      </c>
      <c r="G37" s="5">
        <v>994.15</v>
      </c>
      <c r="H37" s="4"/>
    </row>
    <row r="38">
      <c r="A38" s="4" t="s">
        <v>122</v>
      </c>
      <c r="B38" s="5">
        <v>0.027</v>
      </c>
      <c r="C38" s="7">
        <v>-0.0863</v>
      </c>
      <c r="D38" s="4" t="s">
        <v>123</v>
      </c>
      <c r="E38" s="7">
        <v>0.3194</v>
      </c>
      <c r="F38" s="4" t="s">
        <v>124</v>
      </c>
      <c r="G38" s="4" t="s">
        <v>124</v>
      </c>
      <c r="H38" s="4"/>
    </row>
    <row r="39">
      <c r="A39" s="4" t="s">
        <v>125</v>
      </c>
      <c r="B39" s="5">
        <v>0.027</v>
      </c>
      <c r="C39" s="7">
        <v>-0.0568</v>
      </c>
      <c r="D39" s="4" t="s">
        <v>126</v>
      </c>
      <c r="E39" s="7">
        <v>0.3015</v>
      </c>
      <c r="F39" s="4" t="s">
        <v>127</v>
      </c>
      <c r="G39" s="4" t="s">
        <v>30</v>
      </c>
      <c r="H39" s="4"/>
    </row>
    <row r="40">
      <c r="A40" s="4" t="s">
        <v>128</v>
      </c>
      <c r="B40" s="5">
        <v>0.004299</v>
      </c>
      <c r="C40" s="6">
        <f>+60.01%</f>
        <v>0.6001</v>
      </c>
      <c r="D40" s="4" t="s">
        <v>127</v>
      </c>
      <c r="E40" s="7">
        <v>0.518</v>
      </c>
      <c r="F40" s="4" t="s">
        <v>129</v>
      </c>
      <c r="G40" s="4" t="s">
        <v>30</v>
      </c>
      <c r="H40" s="4"/>
    </row>
    <row r="41">
      <c r="A41" s="4" t="s">
        <v>130</v>
      </c>
      <c r="B41" s="5">
        <v>0.046</v>
      </c>
      <c r="C41" s="7">
        <v>-0.0362</v>
      </c>
      <c r="D41" s="4" t="s">
        <v>131</v>
      </c>
      <c r="E41" s="7">
        <v>0.7913</v>
      </c>
      <c r="F41" s="4" t="s">
        <v>132</v>
      </c>
      <c r="G41" s="4" t="s">
        <v>133</v>
      </c>
      <c r="H41" s="4"/>
    </row>
    <row r="42">
      <c r="A42" s="4" t="s">
        <v>134</v>
      </c>
      <c r="B42" s="5">
        <v>0.163</v>
      </c>
      <c r="C42" s="4" t="s">
        <v>30</v>
      </c>
      <c r="D42" s="4" t="s">
        <v>135</v>
      </c>
      <c r="E42" s="7">
        <v>0.4632</v>
      </c>
      <c r="F42" s="4" t="s">
        <v>136</v>
      </c>
      <c r="G42" s="4" t="s">
        <v>30</v>
      </c>
      <c r="H42" s="4"/>
    </row>
    <row r="43">
      <c r="A43" s="4" t="s">
        <v>137</v>
      </c>
      <c r="B43" s="5">
        <v>0.003953</v>
      </c>
      <c r="C43" s="7">
        <v>-0.0402</v>
      </c>
      <c r="D43" s="4" t="s">
        <v>138</v>
      </c>
      <c r="E43" s="7">
        <v>0.4672</v>
      </c>
      <c r="F43" s="4" t="s">
        <v>139</v>
      </c>
      <c r="G43" s="4" t="s">
        <v>140</v>
      </c>
      <c r="H43" s="4"/>
    </row>
    <row r="44">
      <c r="A44" s="4" t="s">
        <v>141</v>
      </c>
      <c r="B44" s="5">
        <v>0.004678</v>
      </c>
      <c r="C44" s="7">
        <v>-0.0476</v>
      </c>
      <c r="D44" s="4" t="s">
        <v>142</v>
      </c>
      <c r="E44" s="7">
        <v>0.3217</v>
      </c>
      <c r="F44" s="4" t="s">
        <v>143</v>
      </c>
      <c r="G44" s="4" t="s">
        <v>30</v>
      </c>
      <c r="H44" s="4"/>
    </row>
    <row r="45">
      <c r="A45" s="4" t="s">
        <v>144</v>
      </c>
      <c r="B45" s="5">
        <v>1.28</v>
      </c>
      <c r="C45" s="7">
        <v>-0.0663</v>
      </c>
      <c r="D45" s="4" t="s">
        <v>145</v>
      </c>
      <c r="E45" s="7">
        <v>0.6213</v>
      </c>
      <c r="F45" s="4" t="s">
        <v>146</v>
      </c>
      <c r="G45" s="4" t="s">
        <v>147</v>
      </c>
      <c r="H45" s="4"/>
    </row>
    <row r="46">
      <c r="A46" s="4" t="s">
        <v>148</v>
      </c>
      <c r="B46" s="5">
        <v>10.1</v>
      </c>
      <c r="C46" s="7">
        <v>-0.0963</v>
      </c>
      <c r="D46" s="4" t="s">
        <v>149</v>
      </c>
      <c r="E46" s="7">
        <v>0.7296</v>
      </c>
      <c r="F46" s="4" t="s">
        <v>150</v>
      </c>
      <c r="G46" s="4" t="s">
        <v>151</v>
      </c>
      <c r="H46" s="4"/>
    </row>
    <row r="47">
      <c r="A47" s="4" t="s">
        <v>152</v>
      </c>
      <c r="B47" s="5">
        <v>0.013</v>
      </c>
      <c r="C47" s="7">
        <v>-0.0385</v>
      </c>
      <c r="D47" s="4" t="s">
        <v>153</v>
      </c>
      <c r="E47" s="7">
        <v>0.6735</v>
      </c>
      <c r="F47" s="4" t="s">
        <v>154</v>
      </c>
      <c r="G47" s="4" t="s">
        <v>30</v>
      </c>
      <c r="H47" s="4"/>
    </row>
    <row r="48">
      <c r="A48" s="4" t="s">
        <v>155</v>
      </c>
      <c r="B48" s="5">
        <v>0.04</v>
      </c>
      <c r="C48" s="7">
        <v>-0.0708</v>
      </c>
      <c r="D48" s="4" t="s">
        <v>156</v>
      </c>
      <c r="E48" s="7">
        <v>0.155</v>
      </c>
      <c r="F48" s="4" t="s">
        <v>157</v>
      </c>
      <c r="G48" s="4" t="s">
        <v>158</v>
      </c>
      <c r="H48" s="4"/>
    </row>
    <row r="49">
      <c r="A49" s="4" t="s">
        <v>159</v>
      </c>
      <c r="B49" s="5">
        <v>0.125</v>
      </c>
      <c r="C49" s="7">
        <v>-0.0734</v>
      </c>
      <c r="D49" s="4" t="s">
        <v>160</v>
      </c>
      <c r="E49" s="7">
        <v>0.3588</v>
      </c>
      <c r="F49" s="4" t="s">
        <v>161</v>
      </c>
      <c r="G49" s="4" t="s">
        <v>162</v>
      </c>
      <c r="H49" s="4"/>
    </row>
    <row r="50">
      <c r="A50" s="4" t="s">
        <v>163</v>
      </c>
      <c r="B50" s="5">
        <v>0.106</v>
      </c>
      <c r="C50" s="7">
        <v>-0.0341</v>
      </c>
      <c r="D50" s="4" t="s">
        <v>164</v>
      </c>
      <c r="E50" s="7">
        <v>0.3111</v>
      </c>
      <c r="F50" s="4" t="s">
        <v>165</v>
      </c>
      <c r="G50" s="4" t="s">
        <v>30</v>
      </c>
      <c r="H50" s="4"/>
    </row>
    <row r="51">
      <c r="A51" s="4" t="s">
        <v>166</v>
      </c>
      <c r="B51" s="5">
        <v>0.002575</v>
      </c>
      <c r="C51" s="7">
        <v>-0.0025</v>
      </c>
      <c r="D51" s="4" t="s">
        <v>167</v>
      </c>
      <c r="E51" s="7">
        <v>0.9112</v>
      </c>
      <c r="F51" s="4" t="s">
        <v>168</v>
      </c>
      <c r="G51" s="4" t="s">
        <v>30</v>
      </c>
      <c r="H51" s="4"/>
    </row>
    <row r="52">
      <c r="A52" s="4" t="s">
        <v>169</v>
      </c>
      <c r="B52" s="5">
        <v>0.018</v>
      </c>
      <c r="C52" s="7">
        <v>-0.0391</v>
      </c>
      <c r="D52" s="4" t="s">
        <v>170</v>
      </c>
      <c r="E52" s="7">
        <v>0.8033</v>
      </c>
      <c r="F52" s="4" t="s">
        <v>171</v>
      </c>
      <c r="G52" s="4" t="s">
        <v>30</v>
      </c>
      <c r="H52" s="4"/>
    </row>
    <row r="53">
      <c r="A53" s="4" t="s">
        <v>172</v>
      </c>
      <c r="B53" s="5">
        <v>0.02</v>
      </c>
      <c r="C53" s="7">
        <v>-0.0537</v>
      </c>
      <c r="D53" s="4" t="s">
        <v>173</v>
      </c>
      <c r="E53" s="7">
        <v>0.3397</v>
      </c>
      <c r="F53" s="4" t="s">
        <v>174</v>
      </c>
      <c r="G53" s="4" t="s">
        <v>175</v>
      </c>
      <c r="H53" s="4"/>
    </row>
    <row r="54">
      <c r="A54" s="4" t="s">
        <v>125</v>
      </c>
      <c r="B54" s="5">
        <v>8.02E-4</v>
      </c>
      <c r="C54" s="6">
        <f>+670.26%</f>
        <v>6.7026</v>
      </c>
      <c r="D54" s="4" t="s">
        <v>176</v>
      </c>
      <c r="E54" s="7">
        <v>0.9884</v>
      </c>
      <c r="F54" s="5">
        <v>801.67</v>
      </c>
      <c r="G54" s="5">
        <v>345.93</v>
      </c>
      <c r="H54" s="4"/>
    </row>
    <row r="55">
      <c r="A55" s="4" t="s">
        <v>177</v>
      </c>
      <c r="B55" s="5">
        <v>0.455</v>
      </c>
      <c r="C55" s="7">
        <v>-0.023</v>
      </c>
      <c r="D55" s="4" t="s">
        <v>30</v>
      </c>
      <c r="E55" s="7">
        <v>0.7685</v>
      </c>
      <c r="F55" s="4" t="s">
        <v>178</v>
      </c>
      <c r="G55" s="4" t="s">
        <v>30</v>
      </c>
      <c r="H55" s="4"/>
    </row>
    <row r="56">
      <c r="A56" s="4" t="s">
        <v>179</v>
      </c>
      <c r="B56" s="5">
        <v>0.832</v>
      </c>
      <c r="C56" s="7">
        <v>-0.0484</v>
      </c>
      <c r="D56" s="4" t="s">
        <v>180</v>
      </c>
      <c r="E56" s="7">
        <v>0.5885</v>
      </c>
      <c r="F56" s="4" t="s">
        <v>181</v>
      </c>
      <c r="G56" s="4" t="s">
        <v>30</v>
      </c>
      <c r="H56" s="4"/>
    </row>
    <row r="57">
      <c r="A57" s="4" t="s">
        <v>182</v>
      </c>
      <c r="B57" s="5">
        <v>0.001169</v>
      </c>
      <c r="C57" s="7">
        <v>-0.0116</v>
      </c>
      <c r="D57" s="4" t="s">
        <v>183</v>
      </c>
      <c r="E57" s="7">
        <v>0.4218</v>
      </c>
      <c r="F57" s="4" t="s">
        <v>184</v>
      </c>
      <c r="G57" s="4" t="s">
        <v>30</v>
      </c>
      <c r="H57" s="4"/>
    </row>
    <row r="58">
      <c r="A58" s="4" t="s">
        <v>185</v>
      </c>
      <c r="B58" s="5">
        <v>0.03</v>
      </c>
      <c r="C58" s="7">
        <v>-0.0722</v>
      </c>
      <c r="D58" s="4" t="s">
        <v>186</v>
      </c>
      <c r="E58" s="7">
        <v>0.67</v>
      </c>
      <c r="F58" s="4" t="s">
        <v>187</v>
      </c>
      <c r="G58" s="4" t="s">
        <v>30</v>
      </c>
      <c r="H58" s="4"/>
    </row>
    <row r="59">
      <c r="A59" s="4" t="s">
        <v>188</v>
      </c>
      <c r="B59" s="5">
        <v>0.297</v>
      </c>
      <c r="C59" s="7">
        <v>-0.031</v>
      </c>
      <c r="D59" s="4" t="s">
        <v>189</v>
      </c>
      <c r="E59" s="7">
        <v>0.8731</v>
      </c>
      <c r="F59" s="4" t="s">
        <v>190</v>
      </c>
      <c r="G59" s="4" t="s">
        <v>30</v>
      </c>
      <c r="H59" s="4"/>
    </row>
    <row r="60">
      <c r="A60" s="4" t="s">
        <v>191</v>
      </c>
      <c r="B60" s="5">
        <v>4.5E-4</v>
      </c>
      <c r="C60" s="7">
        <v>-0.0138</v>
      </c>
      <c r="D60" s="4" t="s">
        <v>192</v>
      </c>
      <c r="E60" s="7">
        <v>0.8462</v>
      </c>
      <c r="F60" s="5">
        <v>428.44</v>
      </c>
      <c r="G60" s="4" t="s">
        <v>30</v>
      </c>
      <c r="H60" s="4"/>
    </row>
    <row r="61">
      <c r="A61" s="4" t="s">
        <v>193</v>
      </c>
      <c r="B61" s="5">
        <v>0.00572</v>
      </c>
      <c r="C61" s="6">
        <f>+7.19%</f>
        <v>0.0719</v>
      </c>
      <c r="D61" s="4" t="s">
        <v>194</v>
      </c>
      <c r="E61" s="7">
        <v>0.7727</v>
      </c>
      <c r="F61" s="4" t="s">
        <v>195</v>
      </c>
      <c r="G61" s="4" t="s">
        <v>30</v>
      </c>
      <c r="H61" s="4"/>
    </row>
    <row r="62">
      <c r="A62" s="4" t="s">
        <v>196</v>
      </c>
      <c r="B62" s="5">
        <v>0.066</v>
      </c>
      <c r="C62" s="7">
        <v>-0.0955</v>
      </c>
      <c r="D62" s="4" t="s">
        <v>197</v>
      </c>
      <c r="E62" s="7">
        <v>0.3448</v>
      </c>
      <c r="F62" s="4" t="s">
        <v>198</v>
      </c>
      <c r="G62" s="4" t="s">
        <v>199</v>
      </c>
      <c r="H62" s="4"/>
    </row>
    <row r="63">
      <c r="A63" s="4" t="s">
        <v>200</v>
      </c>
      <c r="B63" s="5">
        <v>13.45</v>
      </c>
      <c r="C63" s="7">
        <v>-0.0198</v>
      </c>
      <c r="D63" s="4" t="s">
        <v>201</v>
      </c>
      <c r="E63" s="7">
        <v>0.8463</v>
      </c>
      <c r="F63" s="4" t="s">
        <v>202</v>
      </c>
      <c r="G63" s="4" t="s">
        <v>30</v>
      </c>
      <c r="H63" s="4"/>
    </row>
    <row r="64">
      <c r="A64" s="4" t="s">
        <v>203</v>
      </c>
      <c r="B64" s="5">
        <v>0.057</v>
      </c>
      <c r="C64" s="7">
        <v>-0.0335</v>
      </c>
      <c r="D64" s="4" t="s">
        <v>204</v>
      </c>
      <c r="E64" s="7">
        <v>0.2758</v>
      </c>
      <c r="F64" s="4" t="s">
        <v>205</v>
      </c>
      <c r="G64" s="4" t="s">
        <v>30</v>
      </c>
      <c r="H64" s="4"/>
    </row>
    <row r="65">
      <c r="A65" s="4" t="s">
        <v>206</v>
      </c>
      <c r="B65" s="5">
        <v>0.017</v>
      </c>
      <c r="C65" s="7">
        <v>-0.013</v>
      </c>
      <c r="D65" s="4" t="s">
        <v>207</v>
      </c>
      <c r="E65" s="7">
        <v>0.0923</v>
      </c>
      <c r="F65" s="4" t="s">
        <v>208</v>
      </c>
      <c r="G65" s="4" t="s">
        <v>30</v>
      </c>
      <c r="H65" s="4"/>
    </row>
    <row r="66">
      <c r="A66" s="4" t="s">
        <v>209</v>
      </c>
      <c r="B66" s="5">
        <v>0.088</v>
      </c>
      <c r="C66" s="7">
        <v>-0.0593</v>
      </c>
      <c r="D66" s="4" t="s">
        <v>210</v>
      </c>
      <c r="E66" s="7">
        <v>0.5376</v>
      </c>
      <c r="F66" s="4" t="s">
        <v>211</v>
      </c>
      <c r="G66" s="4" t="s">
        <v>212</v>
      </c>
      <c r="H66" s="4"/>
    </row>
    <row r="67">
      <c r="A67" s="4" t="s">
        <v>213</v>
      </c>
      <c r="B67" s="5">
        <v>0.139</v>
      </c>
      <c r="C67" s="7">
        <v>-0.0736</v>
      </c>
      <c r="D67" s="4" t="s">
        <v>214</v>
      </c>
      <c r="E67" s="7">
        <v>0.5088</v>
      </c>
      <c r="F67" s="4" t="s">
        <v>215</v>
      </c>
      <c r="G67" s="4" t="s">
        <v>216</v>
      </c>
      <c r="H67" s="4"/>
    </row>
    <row r="68">
      <c r="A68" s="4" t="s">
        <v>217</v>
      </c>
      <c r="B68" s="5">
        <v>0.008915</v>
      </c>
      <c r="C68" s="7">
        <v>-0.0493</v>
      </c>
      <c r="D68" s="4" t="s">
        <v>218</v>
      </c>
      <c r="E68" s="7">
        <v>0.5547</v>
      </c>
      <c r="F68" s="4" t="s">
        <v>219</v>
      </c>
      <c r="G68" s="4" t="s">
        <v>30</v>
      </c>
      <c r="H68" s="4"/>
    </row>
    <row r="69">
      <c r="A69" s="4" t="s">
        <v>220</v>
      </c>
      <c r="B69" s="5">
        <v>0.022</v>
      </c>
      <c r="C69" s="7">
        <v>-0.0345</v>
      </c>
      <c r="D69" s="4" t="s">
        <v>221</v>
      </c>
      <c r="E69" s="7">
        <v>0.4658</v>
      </c>
      <c r="F69" s="4" t="s">
        <v>222</v>
      </c>
      <c r="G69" s="4" t="s">
        <v>30</v>
      </c>
      <c r="H69" s="4"/>
    </row>
    <row r="70">
      <c r="A70" s="4" t="s">
        <v>223</v>
      </c>
      <c r="B70" s="5">
        <v>0.003464</v>
      </c>
      <c r="C70" s="4" t="s">
        <v>30</v>
      </c>
      <c r="D70" s="4" t="s">
        <v>224</v>
      </c>
      <c r="E70" s="7">
        <v>0.5421</v>
      </c>
      <c r="F70" s="4" t="s">
        <v>225</v>
      </c>
      <c r="G70" s="4" t="s">
        <v>30</v>
      </c>
      <c r="H70" s="4"/>
    </row>
    <row r="71">
      <c r="A71" s="4" t="s">
        <v>226</v>
      </c>
      <c r="B71" s="5">
        <v>0.368</v>
      </c>
      <c r="C71" s="7">
        <v>-0.0562</v>
      </c>
      <c r="D71" s="4" t="s">
        <v>227</v>
      </c>
      <c r="E71" s="7">
        <v>0.6468</v>
      </c>
      <c r="F71" s="4" t="s">
        <v>228</v>
      </c>
      <c r="G71" s="4" t="s">
        <v>30</v>
      </c>
      <c r="H71" s="4"/>
    </row>
    <row r="72">
      <c r="A72" s="4" t="s">
        <v>229</v>
      </c>
      <c r="B72" s="5">
        <v>0.012</v>
      </c>
      <c r="C72" s="6">
        <f>+16.58%</f>
        <v>0.1658</v>
      </c>
      <c r="D72" s="4" t="s">
        <v>230</v>
      </c>
      <c r="E72" s="7">
        <v>0.2261</v>
      </c>
      <c r="F72" s="4" t="s">
        <v>231</v>
      </c>
      <c r="G72" s="4" t="s">
        <v>30</v>
      </c>
      <c r="H72" s="4"/>
    </row>
    <row r="73">
      <c r="A73" s="4" t="s">
        <v>232</v>
      </c>
      <c r="B73" s="5">
        <v>0.329</v>
      </c>
      <c r="C73" s="7">
        <v>-0.0048</v>
      </c>
      <c r="D73" s="4" t="s">
        <v>233</v>
      </c>
      <c r="E73" s="7">
        <v>0.3625</v>
      </c>
      <c r="F73" s="4" t="s">
        <v>234</v>
      </c>
      <c r="G73" s="4" t="s">
        <v>30</v>
      </c>
      <c r="H73" s="4"/>
    </row>
    <row r="74">
      <c r="A74" s="4" t="s">
        <v>235</v>
      </c>
      <c r="B74" s="5">
        <v>0.033</v>
      </c>
      <c r="C74" s="7">
        <v>-0.0832</v>
      </c>
      <c r="D74" s="4" t="s">
        <v>236</v>
      </c>
      <c r="E74" s="7">
        <v>0.2693</v>
      </c>
      <c r="F74" s="4" t="s">
        <v>237</v>
      </c>
      <c r="G74" s="4" t="s">
        <v>30</v>
      </c>
      <c r="H74" s="4"/>
    </row>
    <row r="75">
      <c r="A75" s="4" t="s">
        <v>238</v>
      </c>
      <c r="B75" s="5">
        <v>0.009531</v>
      </c>
      <c r="C75" s="7">
        <v>-0.0222</v>
      </c>
      <c r="D75" s="4" t="s">
        <v>239</v>
      </c>
      <c r="E75" s="7">
        <v>0.2627</v>
      </c>
      <c r="F75" s="4" t="s">
        <v>240</v>
      </c>
      <c r="G75" s="4" t="s">
        <v>30</v>
      </c>
      <c r="H75" s="4"/>
    </row>
    <row r="76">
      <c r="A76" s="4" t="s">
        <v>241</v>
      </c>
      <c r="B76" s="5">
        <v>0.15</v>
      </c>
      <c r="C76" s="7">
        <v>-0.0618</v>
      </c>
      <c r="D76" s="4" t="s">
        <v>242</v>
      </c>
      <c r="E76" s="7">
        <v>0.9852</v>
      </c>
      <c r="F76" s="4" t="s">
        <v>243</v>
      </c>
      <c r="G76" s="4" t="s">
        <v>30</v>
      </c>
      <c r="H76" s="4"/>
    </row>
    <row r="77">
      <c r="A77" s="4" t="s">
        <v>244</v>
      </c>
      <c r="B77" s="5">
        <v>0.019</v>
      </c>
      <c r="C77" s="7">
        <v>-0.0832</v>
      </c>
      <c r="D77" s="4" t="s">
        <v>245</v>
      </c>
      <c r="E77" s="7">
        <v>0.5486</v>
      </c>
      <c r="F77" s="4" t="s">
        <v>246</v>
      </c>
      <c r="G77" s="4" t="s">
        <v>30</v>
      </c>
      <c r="H77" s="4"/>
    </row>
    <row r="78">
      <c r="A78" s="4" t="s">
        <v>247</v>
      </c>
      <c r="B78" s="5">
        <v>0.018</v>
      </c>
      <c r="C78" s="7">
        <v>-0.0621</v>
      </c>
      <c r="D78" s="4" t="s">
        <v>248</v>
      </c>
      <c r="E78" s="7">
        <v>0.653</v>
      </c>
      <c r="F78" s="4" t="s">
        <v>249</v>
      </c>
      <c r="G78" s="4" t="s">
        <v>30</v>
      </c>
      <c r="H78" s="4"/>
    </row>
    <row r="79">
      <c r="A79" s="4" t="s">
        <v>250</v>
      </c>
      <c r="B79" s="5">
        <v>0.031</v>
      </c>
      <c r="C79" s="7">
        <v>-0.0758</v>
      </c>
      <c r="D79" s="4" t="s">
        <v>251</v>
      </c>
      <c r="E79" s="7">
        <v>0.4326</v>
      </c>
      <c r="F79" s="4" t="s">
        <v>252</v>
      </c>
      <c r="G79" s="4" t="s">
        <v>30</v>
      </c>
      <c r="H79" s="4"/>
    </row>
    <row r="80">
      <c r="A80" s="4" t="s">
        <v>253</v>
      </c>
      <c r="B80" s="5">
        <v>0.006527</v>
      </c>
      <c r="C80" s="7">
        <v>-0.0787</v>
      </c>
      <c r="D80" s="4" t="s">
        <v>254</v>
      </c>
      <c r="E80" s="7">
        <v>0.4927</v>
      </c>
      <c r="F80" s="4" t="s">
        <v>255</v>
      </c>
      <c r="G80" s="4" t="s">
        <v>30</v>
      </c>
      <c r="H80" s="4"/>
    </row>
    <row r="81">
      <c r="A81" s="4" t="s">
        <v>256</v>
      </c>
      <c r="B81" s="5">
        <v>1.84</v>
      </c>
      <c r="C81" s="7">
        <v>-0.0844</v>
      </c>
      <c r="D81" s="4" t="s">
        <v>257</v>
      </c>
      <c r="E81" s="7">
        <v>0.43</v>
      </c>
      <c r="F81" s="4" t="s">
        <v>258</v>
      </c>
      <c r="G81" s="4" t="s">
        <v>30</v>
      </c>
      <c r="H81" s="4"/>
    </row>
    <row r="82">
      <c r="A82" s="4" t="s">
        <v>259</v>
      </c>
      <c r="B82" s="5">
        <v>0.362</v>
      </c>
      <c r="C82" s="7">
        <v>-0.0498</v>
      </c>
      <c r="D82" s="4" t="s">
        <v>260</v>
      </c>
      <c r="E82" s="7">
        <v>0.3065</v>
      </c>
      <c r="F82" s="4" t="s">
        <v>261</v>
      </c>
      <c r="G82" s="4" t="s">
        <v>30</v>
      </c>
      <c r="H82" s="4"/>
    </row>
    <row r="83">
      <c r="A83" s="4" t="s">
        <v>262</v>
      </c>
      <c r="B83" s="5">
        <v>3.64E-4</v>
      </c>
      <c r="C83" s="7">
        <v>-0.02</v>
      </c>
      <c r="D83" s="4" t="s">
        <v>263</v>
      </c>
      <c r="E83" s="7">
        <v>0.677</v>
      </c>
      <c r="F83" s="5">
        <v>552.64</v>
      </c>
      <c r="G83" s="4" t="s">
        <v>30</v>
      </c>
      <c r="H83" s="4"/>
    </row>
    <row r="84">
      <c r="A84" s="4" t="s">
        <v>264</v>
      </c>
      <c r="B84" s="5">
        <v>2.25</v>
      </c>
      <c r="C84" s="6">
        <f>+1.17%</f>
        <v>0.0117</v>
      </c>
      <c r="D84" s="4" t="s">
        <v>265</v>
      </c>
      <c r="E84" s="7">
        <v>0.6249</v>
      </c>
      <c r="F84" s="4" t="s">
        <v>266</v>
      </c>
      <c r="G84" s="4" t="s">
        <v>30</v>
      </c>
      <c r="H84" s="4"/>
    </row>
    <row r="85">
      <c r="A85" s="4" t="s">
        <v>267</v>
      </c>
      <c r="B85" s="5">
        <v>0.009559</v>
      </c>
      <c r="C85" s="6">
        <f>+2.05%</f>
        <v>0.0205</v>
      </c>
      <c r="D85" s="4" t="s">
        <v>268</v>
      </c>
      <c r="E85" s="7">
        <v>0.8094</v>
      </c>
      <c r="F85" s="4" t="s">
        <v>269</v>
      </c>
      <c r="G85" s="4" t="s">
        <v>270</v>
      </c>
      <c r="H85" s="4"/>
    </row>
    <row r="86">
      <c r="A86" s="4" t="s">
        <v>271</v>
      </c>
      <c r="B86" s="5">
        <v>0.001056</v>
      </c>
      <c r="C86" s="7">
        <v>-0.022</v>
      </c>
      <c r="D86" s="4" t="s">
        <v>16</v>
      </c>
      <c r="E86" s="7">
        <v>0.418</v>
      </c>
      <c r="F86" s="4" t="s">
        <v>272</v>
      </c>
      <c r="G86" s="4" t="s">
        <v>30</v>
      </c>
      <c r="H86" s="4"/>
    </row>
    <row r="87">
      <c r="A87" s="4" t="s">
        <v>273</v>
      </c>
      <c r="B87" s="5">
        <v>0.057</v>
      </c>
      <c r="C87" s="7">
        <v>-0.063</v>
      </c>
      <c r="D87" s="4" t="s">
        <v>274</v>
      </c>
      <c r="E87" s="7">
        <v>0.6681</v>
      </c>
      <c r="F87" s="4" t="s">
        <v>275</v>
      </c>
      <c r="G87" s="4" t="s">
        <v>30</v>
      </c>
      <c r="H87" s="4"/>
    </row>
    <row r="88">
      <c r="A88" s="4" t="s">
        <v>276</v>
      </c>
      <c r="B88" s="5">
        <v>0.31</v>
      </c>
      <c r="C88" s="7">
        <v>-0.0589</v>
      </c>
      <c r="D88" s="4" t="s">
        <v>277</v>
      </c>
      <c r="E88" s="7">
        <v>0.2526</v>
      </c>
      <c r="F88" s="4" t="s">
        <v>278</v>
      </c>
      <c r="G88" s="4" t="s">
        <v>30</v>
      </c>
      <c r="H88" s="4"/>
    </row>
    <row r="89">
      <c r="A89" s="4" t="s">
        <v>279</v>
      </c>
      <c r="B89" s="5">
        <v>2.85E-4</v>
      </c>
      <c r="C89" s="6">
        <f>+0.97%</f>
        <v>0.0097</v>
      </c>
      <c r="D89" s="4" t="s">
        <v>280</v>
      </c>
      <c r="E89" s="7">
        <v>0.8688</v>
      </c>
      <c r="F89" s="5">
        <v>333.66</v>
      </c>
      <c r="G89" s="4" t="s">
        <v>30</v>
      </c>
      <c r="H89" s="4"/>
    </row>
    <row r="90">
      <c r="A90" s="4" t="s">
        <v>281</v>
      </c>
      <c r="B90" s="5">
        <v>0.004679</v>
      </c>
      <c r="C90" s="7">
        <v>-0.0629</v>
      </c>
      <c r="D90" s="4" t="s">
        <v>282</v>
      </c>
      <c r="E90" s="7">
        <v>0.3084</v>
      </c>
      <c r="F90" s="4" t="s">
        <v>283</v>
      </c>
      <c r="G90" s="4" t="s">
        <v>30</v>
      </c>
      <c r="H90" s="4"/>
    </row>
    <row r="91">
      <c r="A91" s="4" t="s">
        <v>284</v>
      </c>
      <c r="B91" s="5">
        <v>0.013</v>
      </c>
      <c r="C91" s="7">
        <v>-0.1242</v>
      </c>
      <c r="D91" s="4" t="s">
        <v>285</v>
      </c>
      <c r="E91" s="7">
        <v>0.8304</v>
      </c>
      <c r="F91" s="4" t="s">
        <v>286</v>
      </c>
      <c r="G91" s="4" t="s">
        <v>287</v>
      </c>
      <c r="H91" s="4"/>
    </row>
    <row r="92">
      <c r="A92" s="4" t="s">
        <v>288</v>
      </c>
      <c r="B92" s="5">
        <v>0.00447</v>
      </c>
      <c r="C92" s="6">
        <f>+0.08%</f>
        <v>0.0008</v>
      </c>
      <c r="D92" s="4" t="s">
        <v>289</v>
      </c>
      <c r="E92" s="7">
        <v>0.97</v>
      </c>
      <c r="F92" s="4" t="s">
        <v>290</v>
      </c>
      <c r="G92" s="4" t="s">
        <v>30</v>
      </c>
      <c r="H92" s="4"/>
    </row>
    <row r="93">
      <c r="A93" s="4" t="s">
        <v>291</v>
      </c>
      <c r="B93" s="5">
        <v>4.87E-4</v>
      </c>
      <c r="C93" s="6">
        <f>+2.03%</f>
        <v>0.0203</v>
      </c>
      <c r="D93" s="4" t="s">
        <v>292</v>
      </c>
      <c r="E93" s="7">
        <v>0.8144</v>
      </c>
      <c r="F93" s="4" t="s">
        <v>83</v>
      </c>
      <c r="G93" s="5">
        <v>903.56</v>
      </c>
      <c r="H93" s="4"/>
    </row>
    <row r="94">
      <c r="A94" s="4" t="s">
        <v>293</v>
      </c>
      <c r="B94" s="5">
        <v>0.005268</v>
      </c>
      <c r="C94" s="7">
        <v>-0.028</v>
      </c>
      <c r="D94" s="4" t="s">
        <v>294</v>
      </c>
      <c r="E94" s="7">
        <v>0.3972</v>
      </c>
      <c r="F94" s="4" t="s">
        <v>295</v>
      </c>
      <c r="G94" s="4" t="s">
        <v>30</v>
      </c>
      <c r="H94" s="4"/>
    </row>
    <row r="95">
      <c r="A95" s="4" t="s">
        <v>296</v>
      </c>
      <c r="B95" s="5">
        <v>0.2</v>
      </c>
      <c r="C95" s="7">
        <v>-0.0382</v>
      </c>
      <c r="D95" s="4" t="s">
        <v>297</v>
      </c>
      <c r="E95" s="7">
        <v>0.4104</v>
      </c>
      <c r="F95" s="4" t="s">
        <v>298</v>
      </c>
      <c r="G95" s="4" t="s">
        <v>30</v>
      </c>
      <c r="H95" s="4"/>
    </row>
    <row r="96">
      <c r="A96" s="4" t="s">
        <v>299</v>
      </c>
      <c r="B96" s="5">
        <v>0.006179</v>
      </c>
      <c r="C96" s="7">
        <v>-0.0525</v>
      </c>
      <c r="D96" s="4" t="s">
        <v>300</v>
      </c>
      <c r="E96" s="7">
        <v>0.6868</v>
      </c>
      <c r="F96" s="4" t="s">
        <v>301</v>
      </c>
      <c r="G96" s="4" t="s">
        <v>30</v>
      </c>
      <c r="H96" s="4"/>
    </row>
    <row r="97">
      <c r="A97" s="4" t="s">
        <v>302</v>
      </c>
      <c r="B97" s="5">
        <v>0.239</v>
      </c>
      <c r="C97" s="7">
        <v>-0.1383</v>
      </c>
      <c r="D97" s="4" t="s">
        <v>303</v>
      </c>
      <c r="E97" s="7">
        <v>0.5019</v>
      </c>
      <c r="F97" s="4" t="s">
        <v>136</v>
      </c>
      <c r="G97" s="4" t="s">
        <v>30</v>
      </c>
      <c r="H97" s="4"/>
    </row>
    <row r="98">
      <c r="A98" s="4" t="s">
        <v>304</v>
      </c>
      <c r="B98" s="5">
        <v>0.036</v>
      </c>
      <c r="C98" s="7">
        <v>-0.0516</v>
      </c>
      <c r="D98" s="4" t="s">
        <v>305</v>
      </c>
      <c r="E98" s="7">
        <v>0.2316</v>
      </c>
      <c r="F98" s="4" t="s">
        <v>306</v>
      </c>
      <c r="G98" s="4" t="s">
        <v>30</v>
      </c>
      <c r="H98" s="4"/>
    </row>
    <row r="99">
      <c r="A99" s="4" t="s">
        <v>307</v>
      </c>
      <c r="B99" s="5">
        <v>0.071</v>
      </c>
      <c r="C99" s="7">
        <v>-0.1525</v>
      </c>
      <c r="D99" s="4" t="s">
        <v>308</v>
      </c>
      <c r="E99" s="7">
        <v>0.4085</v>
      </c>
      <c r="F99" s="4" t="s">
        <v>309</v>
      </c>
      <c r="G99" s="4" t="s">
        <v>30</v>
      </c>
      <c r="H99" s="4"/>
    </row>
    <row r="100">
      <c r="A100" s="4" t="s">
        <v>310</v>
      </c>
      <c r="B100" s="5">
        <v>0.085</v>
      </c>
      <c r="C100" s="7">
        <v>-0.0491</v>
      </c>
      <c r="D100" s="4" t="s">
        <v>311</v>
      </c>
      <c r="E100" s="7">
        <v>0.35</v>
      </c>
      <c r="F100" s="4" t="s">
        <v>312</v>
      </c>
      <c r="G100" s="4" t="s">
        <v>30</v>
      </c>
      <c r="H100" s="4"/>
    </row>
    <row r="101">
      <c r="A101" s="4" t="s">
        <v>313</v>
      </c>
      <c r="B101" s="5">
        <v>0.545</v>
      </c>
      <c r="C101" s="7">
        <v>-0.0258</v>
      </c>
      <c r="D101" s="4" t="s">
        <v>314</v>
      </c>
      <c r="E101" s="7">
        <v>0.2796</v>
      </c>
      <c r="F101" s="4" t="s">
        <v>315</v>
      </c>
      <c r="G101" s="4" t="s">
        <v>30</v>
      </c>
      <c r="H101" s="4"/>
    </row>
    <row r="102">
      <c r="A102" s="4" t="s">
        <v>316</v>
      </c>
      <c r="B102" s="5">
        <v>0.053</v>
      </c>
      <c r="C102" s="7">
        <v>-0.0943</v>
      </c>
      <c r="D102" s="4" t="s">
        <v>317</v>
      </c>
      <c r="E102" s="7">
        <v>0.3036</v>
      </c>
      <c r="F102" s="4" t="s">
        <v>318</v>
      </c>
      <c r="G102" s="4"/>
      <c r="H102" s="4"/>
    </row>
    <row r="103">
      <c r="A103" s="4" t="s">
        <v>319</v>
      </c>
      <c r="B103" s="5">
        <v>0.018</v>
      </c>
      <c r="C103" s="7">
        <v>-0.0485</v>
      </c>
      <c r="D103" s="4" t="s">
        <v>320</v>
      </c>
      <c r="E103" s="7">
        <v>0.4967</v>
      </c>
      <c r="F103" s="4" t="s">
        <v>321</v>
      </c>
      <c r="G103" s="4"/>
      <c r="H103" s="4"/>
    </row>
    <row r="104">
      <c r="A104" s="4" t="s">
        <v>322</v>
      </c>
      <c r="B104" s="5">
        <v>0.005345</v>
      </c>
      <c r="C104" s="7">
        <v>-0.0592</v>
      </c>
      <c r="D104" s="4" t="s">
        <v>323</v>
      </c>
      <c r="E104" s="7">
        <v>0.5551</v>
      </c>
      <c r="F104" s="4" t="s">
        <v>324</v>
      </c>
      <c r="G104" s="4"/>
      <c r="H104" s="4"/>
    </row>
    <row r="105">
      <c r="A105" s="4" t="s">
        <v>325</v>
      </c>
      <c r="B105" s="5">
        <v>0.029</v>
      </c>
      <c r="C105" s="7">
        <v>-0.0057</v>
      </c>
      <c r="D105" s="4" t="s">
        <v>86</v>
      </c>
      <c r="E105" s="7">
        <v>0.8844</v>
      </c>
      <c r="F105" s="4" t="s">
        <v>326</v>
      </c>
      <c r="G105" s="4"/>
      <c r="H105" s="4"/>
    </row>
    <row r="106">
      <c r="A106" s="4" t="s">
        <v>327</v>
      </c>
      <c r="B106" s="5">
        <v>0.125</v>
      </c>
      <c r="C106" s="6">
        <f>+2.63%</f>
        <v>0.0263</v>
      </c>
      <c r="D106" s="4" t="s">
        <v>328</v>
      </c>
      <c r="E106" s="7">
        <v>0.2411</v>
      </c>
      <c r="F106" s="4" t="s">
        <v>329</v>
      </c>
      <c r="G106" s="4"/>
      <c r="H106" s="4"/>
    </row>
    <row r="107">
      <c r="A107" s="4" t="s">
        <v>330</v>
      </c>
      <c r="B107" s="5">
        <v>0.032</v>
      </c>
      <c r="C107" s="7">
        <v>-0.001</v>
      </c>
      <c r="D107" s="4" t="s">
        <v>331</v>
      </c>
      <c r="E107" s="7">
        <v>0.3615</v>
      </c>
      <c r="F107" s="4" t="s">
        <v>332</v>
      </c>
      <c r="G107" s="4"/>
      <c r="H107" s="4"/>
    </row>
    <row r="108">
      <c r="A108" s="4" t="s">
        <v>333</v>
      </c>
      <c r="B108" s="5">
        <v>0.009768</v>
      </c>
      <c r="C108" s="7">
        <v>-0.0739</v>
      </c>
      <c r="D108" s="4" t="s">
        <v>334</v>
      </c>
      <c r="E108" s="7">
        <v>0.5432</v>
      </c>
      <c r="F108" s="4" t="s">
        <v>335</v>
      </c>
      <c r="G108" s="4"/>
      <c r="H108" s="4"/>
    </row>
    <row r="109">
      <c r="A109" s="4" t="s">
        <v>336</v>
      </c>
      <c r="B109" s="5">
        <v>0.075</v>
      </c>
      <c r="C109" s="7">
        <v>-0.0384</v>
      </c>
      <c r="D109" s="4" t="s">
        <v>337</v>
      </c>
      <c r="E109" s="7">
        <v>0.4429</v>
      </c>
      <c r="F109" s="4" t="s">
        <v>338</v>
      </c>
      <c r="G109" s="4"/>
      <c r="H109" s="4"/>
    </row>
    <row r="110">
      <c r="A110" s="4" t="s">
        <v>339</v>
      </c>
      <c r="B110" s="5">
        <v>0.106</v>
      </c>
      <c r="C110" s="7">
        <v>-0.0734</v>
      </c>
      <c r="D110" s="4" t="s">
        <v>340</v>
      </c>
      <c r="E110" s="7">
        <v>0.2143</v>
      </c>
      <c r="F110" s="4" t="s">
        <v>341</v>
      </c>
      <c r="G110" s="4"/>
      <c r="H110" s="4"/>
    </row>
    <row r="111">
      <c r="A111" s="4" t="s">
        <v>342</v>
      </c>
      <c r="B111" s="5">
        <v>0.0023</v>
      </c>
      <c r="C111" s="4" t="s">
        <v>30</v>
      </c>
      <c r="D111" s="4" t="s">
        <v>343</v>
      </c>
      <c r="E111" s="7">
        <v>0.9861</v>
      </c>
      <c r="F111" s="5">
        <v>638.97</v>
      </c>
      <c r="G111" s="4"/>
      <c r="H111" s="4"/>
    </row>
    <row r="112">
      <c r="A112" s="4" t="s">
        <v>344</v>
      </c>
      <c r="B112" s="5">
        <v>0.105</v>
      </c>
      <c r="C112" s="7">
        <v>-0.0577</v>
      </c>
      <c r="D112" s="4" t="s">
        <v>345</v>
      </c>
      <c r="E112" s="7">
        <v>0.2184</v>
      </c>
      <c r="F112" s="4" t="s">
        <v>346</v>
      </c>
      <c r="G112" s="4"/>
      <c r="H112" s="4"/>
    </row>
    <row r="113">
      <c r="A113" s="4" t="s">
        <v>347</v>
      </c>
      <c r="B113" s="5">
        <v>0.019</v>
      </c>
      <c r="C113" s="7">
        <v>-0.0686</v>
      </c>
      <c r="D113" s="4" t="s">
        <v>348</v>
      </c>
      <c r="E113" s="7">
        <v>0.2875</v>
      </c>
      <c r="F113" s="4" t="s">
        <v>349</v>
      </c>
      <c r="G113" s="4"/>
      <c r="H113" s="4"/>
    </row>
    <row r="114">
      <c r="A114" s="4" t="s">
        <v>350</v>
      </c>
      <c r="B114" s="5">
        <v>0.025</v>
      </c>
      <c r="C114" s="6">
        <f>+0.05%</f>
        <v>0.0005</v>
      </c>
      <c r="D114" s="4" t="s">
        <v>351</v>
      </c>
      <c r="E114" s="7">
        <v>0.2163</v>
      </c>
      <c r="F114" s="4" t="s">
        <v>352</v>
      </c>
      <c r="G114" s="4"/>
      <c r="H114" s="4"/>
    </row>
    <row r="115">
      <c r="A115" s="4" t="s">
        <v>353</v>
      </c>
      <c r="B115" s="5">
        <v>6.1E-4</v>
      </c>
      <c r="C115" s="7">
        <v>-0.0712</v>
      </c>
      <c r="D115" s="4" t="s">
        <v>354</v>
      </c>
      <c r="E115" s="7">
        <v>0.3683</v>
      </c>
      <c r="F115" s="4" t="s">
        <v>355</v>
      </c>
      <c r="G115" s="4"/>
      <c r="H115" s="4"/>
    </row>
    <row r="116">
      <c r="A116" s="4" t="s">
        <v>356</v>
      </c>
      <c r="B116" s="5">
        <v>0.052</v>
      </c>
      <c r="C116" s="7">
        <v>-0.0219</v>
      </c>
      <c r="D116" s="4" t="s">
        <v>230</v>
      </c>
      <c r="E116" s="7">
        <v>0.557</v>
      </c>
      <c r="F116" s="4" t="s">
        <v>357</v>
      </c>
      <c r="G116" s="4"/>
      <c r="H116" s="4"/>
    </row>
    <row r="117">
      <c r="A117" s="4" t="s">
        <v>358</v>
      </c>
      <c r="B117" s="5">
        <v>0.292</v>
      </c>
      <c r="C117" s="7">
        <v>-0.0697</v>
      </c>
      <c r="D117" s="4" t="s">
        <v>359</v>
      </c>
      <c r="E117" s="7">
        <v>0.7184</v>
      </c>
      <c r="F117" s="4" t="s">
        <v>360</v>
      </c>
      <c r="G117" s="4"/>
      <c r="H117" s="4"/>
    </row>
    <row r="118">
      <c r="A118" s="4" t="s">
        <v>361</v>
      </c>
      <c r="B118" s="5">
        <v>0.418</v>
      </c>
      <c r="C118" s="7">
        <v>-0.0194</v>
      </c>
      <c r="D118" s="4" t="s">
        <v>30</v>
      </c>
      <c r="E118" s="7">
        <v>0.2846</v>
      </c>
      <c r="F118" s="4" t="s">
        <v>362</v>
      </c>
      <c r="G118" s="4"/>
      <c r="H118" s="4"/>
    </row>
    <row r="119">
      <c r="A119" s="4" t="s">
        <v>363</v>
      </c>
      <c r="B119" s="5">
        <v>0.046</v>
      </c>
      <c r="C119" s="7">
        <v>-0.0833</v>
      </c>
      <c r="D119" s="4" t="s">
        <v>364</v>
      </c>
      <c r="E119" s="7">
        <v>0.8982</v>
      </c>
      <c r="F119" s="4" t="s">
        <v>365</v>
      </c>
      <c r="G119" s="4"/>
      <c r="H119" s="4"/>
    </row>
    <row r="120">
      <c r="A120" s="4" t="s">
        <v>366</v>
      </c>
      <c r="B120" s="5">
        <v>2.17</v>
      </c>
      <c r="C120" s="4" t="s">
        <v>30</v>
      </c>
      <c r="D120" s="4" t="s">
        <v>367</v>
      </c>
      <c r="E120" s="7">
        <v>0.8821</v>
      </c>
      <c r="F120" s="4" t="s">
        <v>368</v>
      </c>
      <c r="G120" s="4"/>
      <c r="H120" s="4"/>
    </row>
    <row r="121">
      <c r="A121" s="4" t="s">
        <v>369</v>
      </c>
      <c r="B121" s="5">
        <v>0.096</v>
      </c>
      <c r="C121" s="7">
        <v>-0.0674</v>
      </c>
      <c r="D121" s="4" t="s">
        <v>370</v>
      </c>
      <c r="E121" s="7">
        <v>0.5923</v>
      </c>
      <c r="F121" s="4" t="s">
        <v>371</v>
      </c>
      <c r="G121" s="4"/>
      <c r="H121" s="4"/>
    </row>
    <row r="122">
      <c r="A122" s="4" t="s">
        <v>372</v>
      </c>
      <c r="B122" s="5">
        <v>0.593</v>
      </c>
      <c r="C122" s="7">
        <v>-0.1584</v>
      </c>
      <c r="D122" s="4" t="s">
        <v>373</v>
      </c>
      <c r="E122" s="7">
        <v>0.4797</v>
      </c>
      <c r="F122" s="4" t="s">
        <v>374</v>
      </c>
      <c r="G122" s="4"/>
      <c r="H122" s="4"/>
    </row>
    <row r="123">
      <c r="A123" s="4" t="s">
        <v>375</v>
      </c>
      <c r="B123" s="5">
        <v>0.19</v>
      </c>
      <c r="C123" s="7">
        <v>-0.0768</v>
      </c>
      <c r="D123" s="4" t="s">
        <v>376</v>
      </c>
      <c r="E123" s="7">
        <v>0.8006</v>
      </c>
      <c r="F123" s="4" t="s">
        <v>377</v>
      </c>
      <c r="G123" s="4"/>
      <c r="H123" s="4"/>
    </row>
    <row r="124">
      <c r="A124" s="4" t="s">
        <v>378</v>
      </c>
      <c r="B124" s="5">
        <v>0.064</v>
      </c>
      <c r="C124" s="7">
        <v>-0.0647</v>
      </c>
      <c r="D124" s="4" t="s">
        <v>379</v>
      </c>
      <c r="E124" s="7">
        <v>0.3032</v>
      </c>
      <c r="F124" s="4" t="s">
        <v>380</v>
      </c>
      <c r="G124" s="4"/>
      <c r="H124" s="4"/>
    </row>
    <row r="125">
      <c r="A125" s="4" t="s">
        <v>381</v>
      </c>
      <c r="B125" s="5">
        <v>8.79E-4</v>
      </c>
      <c r="C125" s="4" t="s">
        <v>30</v>
      </c>
      <c r="D125" s="4" t="s">
        <v>30</v>
      </c>
      <c r="E125" s="7">
        <v>0.6698</v>
      </c>
      <c r="F125" s="5">
        <v>879.32</v>
      </c>
      <c r="G125" s="4"/>
      <c r="H125" s="4"/>
    </row>
    <row r="126">
      <c r="A126" s="4" t="s">
        <v>382</v>
      </c>
      <c r="B126" s="5">
        <v>0.083</v>
      </c>
      <c r="C126" s="7">
        <v>-0.1046</v>
      </c>
      <c r="D126" s="4" t="s">
        <v>383</v>
      </c>
      <c r="E126" s="7">
        <v>0.7887</v>
      </c>
      <c r="F126" s="4" t="s">
        <v>384</v>
      </c>
      <c r="G126" s="4"/>
      <c r="H126" s="4"/>
    </row>
    <row r="127">
      <c r="A127" s="4" t="s">
        <v>385</v>
      </c>
      <c r="B127" s="5">
        <v>0.031</v>
      </c>
      <c r="C127" s="7">
        <v>-0.0201</v>
      </c>
      <c r="D127" s="4" t="s">
        <v>386</v>
      </c>
      <c r="E127" s="7">
        <v>0.4333</v>
      </c>
      <c r="F127" s="4" t="s">
        <v>387</v>
      </c>
      <c r="G127" s="4"/>
      <c r="H127" s="4"/>
    </row>
    <row r="128">
      <c r="A128" s="4" t="s">
        <v>388</v>
      </c>
      <c r="B128" s="5">
        <v>0.235</v>
      </c>
      <c r="C128" s="7">
        <v>-0.0966</v>
      </c>
      <c r="D128" s="4" t="s">
        <v>389</v>
      </c>
      <c r="E128" s="7">
        <v>0.4578</v>
      </c>
      <c r="F128" s="4" t="s">
        <v>390</v>
      </c>
      <c r="G128" s="4"/>
      <c r="H128" s="4"/>
    </row>
    <row r="129">
      <c r="A129" s="4" t="s">
        <v>391</v>
      </c>
      <c r="B129" s="5">
        <v>0.00381</v>
      </c>
      <c r="C129" s="7">
        <v>-0.0565</v>
      </c>
      <c r="D129" s="4" t="s">
        <v>392</v>
      </c>
      <c r="E129" s="7">
        <v>0.6541</v>
      </c>
      <c r="F129" s="4" t="s">
        <v>393</v>
      </c>
      <c r="G129" s="4"/>
      <c r="H129" s="4"/>
    </row>
    <row r="130">
      <c r="A130" s="4" t="s">
        <v>394</v>
      </c>
      <c r="B130" s="5">
        <v>0.029</v>
      </c>
      <c r="C130" s="7">
        <v>-0.0347</v>
      </c>
      <c r="D130" s="4" t="s">
        <v>395</v>
      </c>
      <c r="E130" s="7">
        <v>0.1559</v>
      </c>
      <c r="F130" s="4" t="s">
        <v>349</v>
      </c>
      <c r="G130" s="4"/>
      <c r="H130" s="4"/>
    </row>
    <row r="131">
      <c r="A131" s="4" t="s">
        <v>396</v>
      </c>
      <c r="B131" s="5">
        <v>0.012</v>
      </c>
      <c r="C131" s="7">
        <v>-0.0467</v>
      </c>
      <c r="D131" s="4" t="s">
        <v>397</v>
      </c>
      <c r="E131" s="7">
        <v>0.2812</v>
      </c>
      <c r="F131" s="4" t="s">
        <v>398</v>
      </c>
      <c r="G131" s="4"/>
      <c r="H131" s="4"/>
    </row>
    <row r="132">
      <c r="A132" s="4" t="s">
        <v>399</v>
      </c>
      <c r="B132" s="5">
        <v>0.218</v>
      </c>
      <c r="C132" s="7">
        <v>-0.0233</v>
      </c>
      <c r="D132" s="4" t="s">
        <v>400</v>
      </c>
      <c r="E132" s="7">
        <v>0.4089</v>
      </c>
      <c r="F132" s="4" t="s">
        <v>401</v>
      </c>
      <c r="G132" s="4"/>
      <c r="H132" s="4"/>
    </row>
    <row r="133">
      <c r="A133" s="4" t="s">
        <v>402</v>
      </c>
      <c r="B133" s="5">
        <v>0.177</v>
      </c>
      <c r="C133" s="7">
        <v>-0.0801</v>
      </c>
      <c r="D133" s="4" t="s">
        <v>403</v>
      </c>
      <c r="E133" s="7">
        <v>0.4751</v>
      </c>
      <c r="F133" s="4" t="s">
        <v>404</v>
      </c>
      <c r="G133" s="4"/>
      <c r="H133" s="4"/>
    </row>
    <row r="134">
      <c r="A134" s="4" t="s">
        <v>405</v>
      </c>
      <c r="B134" s="5">
        <v>0.071</v>
      </c>
      <c r="C134" s="7">
        <v>-0.0563</v>
      </c>
      <c r="D134" s="4" t="s">
        <v>406</v>
      </c>
      <c r="E134" s="7">
        <v>0.3032</v>
      </c>
      <c r="F134" s="4" t="s">
        <v>407</v>
      </c>
      <c r="G134" s="4"/>
      <c r="H134" s="4"/>
    </row>
    <row r="135">
      <c r="A135" s="4" t="s">
        <v>408</v>
      </c>
      <c r="B135" s="5">
        <v>0.078</v>
      </c>
      <c r="C135" s="7">
        <v>-0.0615</v>
      </c>
      <c r="D135" s="4" t="s">
        <v>409</v>
      </c>
      <c r="E135" s="7">
        <v>0.5761</v>
      </c>
      <c r="F135" s="4" t="s">
        <v>410</v>
      </c>
      <c r="G135" s="4"/>
      <c r="H135" s="4"/>
    </row>
  </sheetData>
  <drawing r:id="rId1"/>
</worksheet>
</file>