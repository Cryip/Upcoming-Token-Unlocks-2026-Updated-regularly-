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<sst xmlns="http://schemas.openxmlformats.org/spreadsheetml/2006/main" count="440" uniqueCount="430">
  <si>
    <t>Token</t>
  </si>
  <si>
    <t>Price ($) as 02rd Mar UTC 7.30 am</t>
  </si>
  <si>
    <t>24h price Change (%)</t>
  </si>
  <si>
    <t>Reported Market Cap</t>
  </si>
  <si>
    <t>Released Percentage
The percentage of supply released compared to max supply.</t>
  </si>
  <si>
    <t>Upcoming Unlock Value</t>
  </si>
  <si>
    <t>% of circulating Supply</t>
  </si>
  <si>
    <t>BMEX</t>
  </si>
  <si>
    <t>$9.34M</t>
  </si>
  <si>
    <t>$292.73K</t>
  </si>
  <si>
    <t>HONEY</t>
  </si>
  <si>
    <t>$17.69M</t>
  </si>
  <si>
    <t>$112.67K</t>
  </si>
  <si>
    <t>SVL</t>
  </si>
  <si>
    <t>$29.68M</t>
  </si>
  <si>
    <t>$74.50K</t>
  </si>
  <si>
    <t>SPEC</t>
  </si>
  <si>
    <t>$2.55M</t>
  </si>
  <si>
    <t>$447.47K</t>
  </si>
  <si>
    <t>HMX</t>
  </si>
  <si>
    <t>--</t>
  </si>
  <si>
    <t>$246.42K</t>
  </si>
  <si>
    <t>$7.75K</t>
  </si>
  <si>
    <t>GFAL</t>
  </si>
  <si>
    <t>$6.78M</t>
  </si>
  <si>
    <t>$61.97K</t>
  </si>
  <si>
    <t>IOTA</t>
  </si>
  <si>
    <t>$286.76M</t>
  </si>
  <si>
    <t>$819.95K</t>
  </si>
  <si>
    <t>MMT</t>
  </si>
  <si>
    <t>$24.10M</t>
  </si>
  <si>
    <t>$582.04K</t>
  </si>
  <si>
    <t>NAVX</t>
  </si>
  <si>
    <t>$7.75M</t>
  </si>
  <si>
    <t>$27.58K</t>
  </si>
  <si>
    <t>WMTX</t>
  </si>
  <si>
    <t>$57.78M</t>
  </si>
  <si>
    <t>$346.55K</t>
  </si>
  <si>
    <t>AERO</t>
  </si>
  <si>
    <t>$316.69M</t>
  </si>
  <si>
    <t>&lt;0.01%</t>
  </si>
  <si>
    <t>NEXT</t>
  </si>
  <si>
    <t>- -</t>
  </si>
  <si>
    <t>$1.55M</t>
  </si>
  <si>
    <t>CXT</t>
  </si>
  <si>
    <t>$5.75M</t>
  </si>
  <si>
    <t>$23.97K</t>
  </si>
  <si>
    <t>STIK</t>
  </si>
  <si>
    <t>$442.45K</t>
  </si>
  <si>
    <t>ENA</t>
  </si>
  <si>
    <t>$865.73M</t>
  </si>
  <si>
    <t>$18.06M</t>
  </si>
  <si>
    <t>ACS</t>
  </si>
  <si>
    <t>$8.77M</t>
  </si>
  <si>
    <t>$51.07K</t>
  </si>
  <si>
    <t>DEVVE</t>
  </si>
  <si>
    <t>$4.75M</t>
  </si>
  <si>
    <t>$45.24K</t>
  </si>
  <si>
    <t>HYPE</t>
  </si>
  <si>
    <t>$7.37B</t>
  </si>
  <si>
    <t>$304.94M</t>
  </si>
  <si>
    <t>NYAN</t>
  </si>
  <si>
    <t>$86.34K</t>
  </si>
  <si>
    <t>$1.16K</t>
  </si>
  <si>
    <t>W</t>
  </si>
  <si>
    <t>$101.55M</t>
  </si>
  <si>
    <t>$935.58K</t>
  </si>
  <si>
    <t>RED</t>
  </si>
  <si>
    <t>$47.10M</t>
  </si>
  <si>
    <t>$6.11M</t>
  </si>
  <si>
    <t>AURORA</t>
  </si>
  <si>
    <t>$18.72M</t>
  </si>
  <si>
    <t>$145.66K</t>
  </si>
  <si>
    <t>DCK</t>
  </si>
  <si>
    <t>$535.62K</t>
  </si>
  <si>
    <t>$3.44K</t>
  </si>
  <si>
    <t>ACE</t>
  </si>
  <si>
    <t>$13.95M</t>
  </si>
  <si>
    <t>$63.98K</t>
  </si>
  <si>
    <t>HFT</t>
  </si>
  <si>
    <t>$10.23M</t>
  </si>
  <si>
    <t>$167.84K</t>
  </si>
  <si>
    <t>OP</t>
  </si>
  <si>
    <t>$259.24M</t>
  </si>
  <si>
    <t>$2.38M</t>
  </si>
  <si>
    <t>ELX</t>
  </si>
  <si>
    <t>$568.31K</t>
  </si>
  <si>
    <t>$120.42K</t>
  </si>
  <si>
    <t>IN</t>
  </si>
  <si>
    <t>$20.43M</t>
  </si>
  <si>
    <t>$401.40K</t>
  </si>
  <si>
    <t>FORT</t>
  </si>
  <si>
    <t>$9.35M</t>
  </si>
  <si>
    <t>NTX</t>
  </si>
  <si>
    <t>$5.48M</t>
  </si>
  <si>
    <t>$17.39K</t>
  </si>
  <si>
    <t>SXT</t>
  </si>
  <si>
    <t>$54.05M</t>
  </si>
  <si>
    <t>$469.37K</t>
  </si>
  <si>
    <t>AXS</t>
  </si>
  <si>
    <t>$215.68M</t>
  </si>
  <si>
    <t>$828.68K</t>
  </si>
  <si>
    <t>BB</t>
  </si>
  <si>
    <t>$10.02M</t>
  </si>
  <si>
    <t>$729.24K</t>
  </si>
  <si>
    <t>NYM</t>
  </si>
  <si>
    <t>$21.94M</t>
  </si>
  <si>
    <t>$51.12K</t>
  </si>
  <si>
    <t>MOVE</t>
  </si>
  <si>
    <t>$72.67M</t>
  </si>
  <si>
    <t>$3.57M</t>
  </si>
  <si>
    <t>COPI</t>
  </si>
  <si>
    <t>$3.25M</t>
  </si>
  <si>
    <t>$48.41K</t>
  </si>
  <si>
    <t>ME</t>
  </si>
  <si>
    <t>$49.57M</t>
  </si>
  <si>
    <t>$1.24M</t>
  </si>
  <si>
    <t>MLK</t>
  </si>
  <si>
    <t>$29.56M</t>
  </si>
  <si>
    <t>$105.90K</t>
  </si>
  <si>
    <t>TRUF</t>
  </si>
  <si>
    <t>$1.80M</t>
  </si>
  <si>
    <t>$19.62K</t>
  </si>
  <si>
    <t>VRTX</t>
  </si>
  <si>
    <t>$69.48K</t>
  </si>
  <si>
    <t>$1.05K</t>
  </si>
  <si>
    <t>LINEA</t>
  </si>
  <si>
    <t>$69.37M</t>
  </si>
  <si>
    <t>$4.22M</t>
  </si>
  <si>
    <t>AGI</t>
  </si>
  <si>
    <t>$26.28M</t>
  </si>
  <si>
    <t>$756.24K</t>
  </si>
  <si>
    <t>IO</t>
  </si>
  <si>
    <t>$32.00M</t>
  </si>
  <si>
    <t>$1.42M</t>
  </si>
  <si>
    <t>DCB</t>
  </si>
  <si>
    <t>$681.74K</t>
  </si>
  <si>
    <t>$13.77K</t>
  </si>
  <si>
    <t>GODS</t>
  </si>
  <si>
    <t>$13.42M</t>
  </si>
  <si>
    <t>$88.66K</t>
  </si>
  <si>
    <t>PEAQ</t>
  </si>
  <si>
    <t>$28.87M</t>
  </si>
  <si>
    <t>$1.32M</t>
  </si>
  <si>
    <t>APT</t>
  </si>
  <si>
    <t>$741.49M</t>
  </si>
  <si>
    <t>$10.69M</t>
  </si>
  <si>
    <t>CHEEL</t>
  </si>
  <si>
    <t>$2.64M</t>
  </si>
  <si>
    <t>PUFFER</t>
  </si>
  <si>
    <t>$11.56M</t>
  </si>
  <si>
    <t>$564.45K</t>
  </si>
  <si>
    <t>WBT</t>
  </si>
  <si>
    <t>$10.50B</t>
  </si>
  <si>
    <t>$4.00B</t>
  </si>
  <si>
    <t>HTM</t>
  </si>
  <si>
    <t>$1.05M</t>
  </si>
  <si>
    <t>$4.82K</t>
  </si>
  <si>
    <t>XCN</t>
  </si>
  <si>
    <t>$172.09M</t>
  </si>
  <si>
    <t>$1.37M</t>
  </si>
  <si>
    <t>WCT</t>
  </si>
  <si>
    <t>$11.02M</t>
  </si>
  <si>
    <t>$746.42K</t>
  </si>
  <si>
    <t>CONX</t>
  </si>
  <si>
    <t>$30.61M</t>
  </si>
  <si>
    <t>$15.02M</t>
  </si>
  <si>
    <t>GSWIFT</t>
  </si>
  <si>
    <t>$489.14K</t>
  </si>
  <si>
    <t>$5.76K</t>
  </si>
  <si>
    <t>HOOK</t>
  </si>
  <si>
    <t>$7.68M</t>
  </si>
  <si>
    <t>$97.22K</t>
  </si>
  <si>
    <t>STRK</t>
  </si>
  <si>
    <t>$223.06M</t>
  </si>
  <si>
    <t>$5.15M</t>
  </si>
  <si>
    <t>CYBER</t>
  </si>
  <si>
    <t>$47.41M</t>
  </si>
  <si>
    <t>$737.67K</t>
  </si>
  <si>
    <t>CYPR</t>
  </si>
  <si>
    <t>$1.57M</t>
  </si>
  <si>
    <t>$24.55K</t>
  </si>
  <si>
    <t>SEI</t>
  </si>
  <si>
    <t>$467.92M</t>
  </si>
  <si>
    <t>$3.85M</t>
  </si>
  <si>
    <t>GAL</t>
  </si>
  <si>
    <t>$29.96M</t>
  </si>
  <si>
    <t>$137.61K</t>
  </si>
  <si>
    <t>TRIBL</t>
  </si>
  <si>
    <t>$682.22M</t>
  </si>
  <si>
    <t>ARB</t>
  </si>
  <si>
    <t>$600.41M</t>
  </si>
  <si>
    <t>$9.33M</t>
  </si>
  <si>
    <t>ASTR</t>
  </si>
  <si>
    <t>$61.21M</t>
  </si>
  <si>
    <t>$69.36K</t>
  </si>
  <si>
    <t>FLIX</t>
  </si>
  <si>
    <t>$1.79M</t>
  </si>
  <si>
    <t>$30.61K</t>
  </si>
  <si>
    <t>YALA</t>
  </si>
  <si>
    <t>$272.02K</t>
  </si>
  <si>
    <t>$9.98K</t>
  </si>
  <si>
    <t>ZK</t>
  </si>
  <si>
    <t>$174.00M</t>
  </si>
  <si>
    <t>$3.26M</t>
  </si>
  <si>
    <t>SOLV</t>
  </si>
  <si>
    <t>$5.69M</t>
  </si>
  <si>
    <t>$727.20K</t>
  </si>
  <si>
    <t>BMT</t>
  </si>
  <si>
    <t>$3.86M</t>
  </si>
  <si>
    <t>$159.70K</t>
  </si>
  <si>
    <t>CATI</t>
  </si>
  <si>
    <t>$15.60M</t>
  </si>
  <si>
    <t>$624.85K</t>
  </si>
  <si>
    <t>BARD</t>
  </si>
  <si>
    <t>$225.27M</t>
  </si>
  <si>
    <t>$30.15M</t>
  </si>
  <si>
    <t>MMX</t>
  </si>
  <si>
    <t>$3.19M</t>
  </si>
  <si>
    <t>$31.03K</t>
  </si>
  <si>
    <t>ZKJ</t>
  </si>
  <si>
    <t>$10.98M</t>
  </si>
  <si>
    <t>$693.69K</t>
  </si>
  <si>
    <t>PYR</t>
  </si>
  <si>
    <t>$7.19M</t>
  </si>
  <si>
    <t>$11.87K</t>
  </si>
  <si>
    <t>YZY</t>
  </si>
  <si>
    <t>$42.47M</t>
  </si>
  <si>
    <t>$6.81M</t>
  </si>
  <si>
    <t>PIXEL</t>
  </si>
  <si>
    <t>$3.71M</t>
  </si>
  <si>
    <t>$438.49K</t>
  </si>
  <si>
    <t>BR</t>
  </si>
  <si>
    <t>$12.14M</t>
  </si>
  <si>
    <t>$3.97M</t>
  </si>
  <si>
    <t>LISTA</t>
  </si>
  <si>
    <t>$23.59M</t>
  </si>
  <si>
    <t>$2.78M</t>
  </si>
  <si>
    <t>ZRO</t>
  </si>
  <si>
    <t>$370.51M</t>
  </si>
  <si>
    <t>$47.05M</t>
  </si>
  <si>
    <t>KAITO</t>
  </si>
  <si>
    <t>$79.95M</t>
  </si>
  <si>
    <t>$5.82M</t>
  </si>
  <si>
    <t>DMC</t>
  </si>
  <si>
    <t>$5.57M</t>
  </si>
  <si>
    <t>$376.35K</t>
  </si>
  <si>
    <t>RIVER</t>
  </si>
  <si>
    <t>$280.04M</t>
  </si>
  <si>
    <t>$15.88M</t>
  </si>
  <si>
    <t>ID</t>
  </si>
  <si>
    <t>$18.39M</t>
  </si>
  <si>
    <t>$3.09M</t>
  </si>
  <si>
    <t>MBG</t>
  </si>
  <si>
    <t>$61.91M</t>
  </si>
  <si>
    <t>$8.80M</t>
  </si>
  <si>
    <t>KARRAT</t>
  </si>
  <si>
    <t>$4.72M</t>
  </si>
  <si>
    <t>$89.12K</t>
  </si>
  <si>
    <t>XMW</t>
  </si>
  <si>
    <t>$7.80M</t>
  </si>
  <si>
    <t>$93.19K</t>
  </si>
  <si>
    <t>MURA</t>
  </si>
  <si>
    <t>$5.01B</t>
  </si>
  <si>
    <t>$42.70K</t>
  </si>
  <si>
    <t>SLF</t>
  </si>
  <si>
    <t>$70.45K</t>
  </si>
  <si>
    <t>UDS</t>
  </si>
  <si>
    <t>$227.73M</t>
  </si>
  <si>
    <t>$3.94M</t>
  </si>
  <si>
    <t>VOXEL</t>
  </si>
  <si>
    <t>$2.10M</t>
  </si>
  <si>
    <t>$8.64K</t>
  </si>
  <si>
    <t>AVAIL</t>
  </si>
  <si>
    <t>$13.28M</t>
  </si>
  <si>
    <t>$788.20K</t>
  </si>
  <si>
    <t>SOON</t>
  </si>
  <si>
    <t>$72.66M</t>
  </si>
  <si>
    <t>$3.65M</t>
  </si>
  <si>
    <t>ANIME</t>
  </si>
  <si>
    <t>$26.95M</t>
  </si>
  <si>
    <t>$634.93K</t>
  </si>
  <si>
    <t>MET</t>
  </si>
  <si>
    <t>$91.23M</t>
  </si>
  <si>
    <t>DOLO</t>
  </si>
  <si>
    <t>$15.74M</t>
  </si>
  <si>
    <t>$39.59K</t>
  </si>
  <si>
    <t>NEWT</t>
  </si>
  <si>
    <t>$15.84M</t>
  </si>
  <si>
    <t>$459.85K</t>
  </si>
  <si>
    <t>SOSO</t>
  </si>
  <si>
    <t>$92.74M</t>
  </si>
  <si>
    <t>$4.49M</t>
  </si>
  <si>
    <t>NIL</t>
  </si>
  <si>
    <t>$15.75M</t>
  </si>
  <si>
    <t>$5.67M</t>
  </si>
  <si>
    <t>MON</t>
  </si>
  <si>
    <t>$224.11M</t>
  </si>
  <si>
    <t>$3.50M</t>
  </si>
  <si>
    <t>ACA</t>
  </si>
  <si>
    <t>$867.69K</t>
  </si>
  <si>
    <t>$3.47K</t>
  </si>
  <si>
    <t>GAU</t>
  </si>
  <si>
    <t>$103.29K</t>
  </si>
  <si>
    <t>GTAI</t>
  </si>
  <si>
    <t>$964.40K</t>
  </si>
  <si>
    <t>$15.36K</t>
  </si>
  <si>
    <t>H</t>
  </si>
  <si>
    <t>$230.90M</t>
  </si>
  <si>
    <t>$13.29M</t>
  </si>
  <si>
    <t>WIFI</t>
  </si>
  <si>
    <t>$242.63K</t>
  </si>
  <si>
    <t>$1.72K</t>
  </si>
  <si>
    <t>VENOM</t>
  </si>
  <si>
    <t>$54.02M</t>
  </si>
  <si>
    <t>$1.87M</t>
  </si>
  <si>
    <t>ALT</t>
  </si>
  <si>
    <t>$40.80M</t>
  </si>
  <si>
    <t>$1.72M</t>
  </si>
  <si>
    <t>PARTI</t>
  </si>
  <si>
    <t>$21.73M</t>
  </si>
  <si>
    <t>$8.33M</t>
  </si>
  <si>
    <t>XPL</t>
  </si>
  <si>
    <t>$219.89M</t>
  </si>
  <si>
    <t>$8.67M</t>
  </si>
  <si>
    <t>GGP</t>
  </si>
  <si>
    <t>$715.59K</t>
  </si>
  <si>
    <t>$7.08K</t>
  </si>
  <si>
    <t>MIRA</t>
  </si>
  <si>
    <t>$19.74M</t>
  </si>
  <si>
    <t>$1.01M</t>
  </si>
  <si>
    <t>SAHARA</t>
  </si>
  <si>
    <t>$73.30M</t>
  </si>
  <si>
    <t>$3.34M</t>
  </si>
  <si>
    <t>BLAST</t>
  </si>
  <si>
    <t>$29.27M</t>
  </si>
  <si>
    <t>$452.45K</t>
  </si>
  <si>
    <t>ALOT</t>
  </si>
  <si>
    <t>$2.65M</t>
  </si>
  <si>
    <t>$3.08K</t>
  </si>
  <si>
    <t>APEX</t>
  </si>
  <si>
    <t>$40.22M</t>
  </si>
  <si>
    <t>$930.24K</t>
  </si>
  <si>
    <t>YGG</t>
  </si>
  <si>
    <t>$27.80M</t>
  </si>
  <si>
    <t>$342.33K</t>
  </si>
  <si>
    <t>FET</t>
  </si>
  <si>
    <t>$342.96M</t>
  </si>
  <si>
    <t>$409.98K</t>
  </si>
  <si>
    <t>FT</t>
  </si>
  <si>
    <t>$201.21K</t>
  </si>
  <si>
    <t>DICE</t>
  </si>
  <si>
    <t>AGIX</t>
  </si>
  <si>
    <t>$17.26M</t>
  </si>
  <si>
    <t>$428.89K</t>
  </si>
  <si>
    <t>SOPH</t>
  </si>
  <si>
    <t>$28.54M</t>
  </si>
  <si>
    <t>$229.14K</t>
  </si>
  <si>
    <t>JUP</t>
  </si>
  <si>
    <t>$596.76M</t>
  </si>
  <si>
    <t>$9.12M</t>
  </si>
  <si>
    <t>TREE</t>
  </si>
  <si>
    <t>$10.88M</t>
  </si>
  <si>
    <t>$457.34K</t>
  </si>
  <si>
    <t>BIGTIME</t>
  </si>
  <si>
    <t>$26.78M</t>
  </si>
  <si>
    <t>$4.66M</t>
  </si>
  <si>
    <t>BIM</t>
  </si>
  <si>
    <t>$34.18M</t>
  </si>
  <si>
    <t>$74.58K</t>
  </si>
  <si>
    <t>CELO</t>
  </si>
  <si>
    <t>$46.11M</t>
  </si>
  <si>
    <t>$65.64K</t>
  </si>
  <si>
    <t>ZORA</t>
  </si>
  <si>
    <t>$80.10M</t>
  </si>
  <si>
    <t>$2.97M</t>
  </si>
  <si>
    <t>REZ</t>
  </si>
  <si>
    <t>$11.11M</t>
  </si>
  <si>
    <t>$1.18M</t>
  </si>
  <si>
    <t>KMNO</t>
  </si>
  <si>
    <t>$88.88M</t>
  </si>
  <si>
    <t>$5.02M</t>
  </si>
  <si>
    <t>GUN</t>
  </si>
  <si>
    <t>$43.26M</t>
  </si>
  <si>
    <t>$2.19M</t>
  </si>
  <si>
    <t>CETUS</t>
  </si>
  <si>
    <t>$14.72M</t>
  </si>
  <si>
    <t>$133.89K</t>
  </si>
  <si>
    <t>PRIME</t>
  </si>
  <si>
    <t>$25.80M</t>
  </si>
  <si>
    <t>$185.53K</t>
  </si>
  <si>
    <t>FLOCK</t>
  </si>
  <si>
    <t>$18.59M</t>
  </si>
  <si>
    <t>$965.07K</t>
  </si>
  <si>
    <t>TET</t>
  </si>
  <si>
    <t>$2.66M</t>
  </si>
  <si>
    <t>$28.18K</t>
  </si>
  <si>
    <t>MANTA</t>
  </si>
  <si>
    <t>$28.62M</t>
  </si>
  <si>
    <t>$114.77K</t>
  </si>
  <si>
    <t>DYDX</t>
  </si>
  <si>
    <t>$77.09M</t>
  </si>
  <si>
    <t>$385.85K</t>
  </si>
  <si>
    <t>GPS</t>
  </si>
  <si>
    <t>$40.27M</t>
  </si>
  <si>
    <t>$1.52M</t>
  </si>
  <si>
    <t>MAV</t>
  </si>
  <si>
    <t>$11.50M</t>
  </si>
  <si>
    <t>$494.30K</t>
  </si>
  <si>
    <t>NUM</t>
  </si>
  <si>
    <t>$3.40M</t>
  </si>
  <si>
    <t>$17.02K</t>
  </si>
  <si>
    <t>SIDUS</t>
  </si>
  <si>
    <t>$1.02M</t>
  </si>
  <si>
    <t>$14.04K</t>
  </si>
  <si>
    <t>SKL</t>
  </si>
  <si>
    <t>$39.52M</t>
  </si>
  <si>
    <t>$429.76K</t>
  </si>
  <si>
    <t>AI</t>
  </si>
  <si>
    <t>$2.51M</t>
  </si>
  <si>
    <t>$318.29K</t>
  </si>
  <si>
    <t>SUI</t>
  </si>
  <si>
    <t>$3.52B</t>
  </si>
  <si>
    <t>$38.53M</t>
  </si>
  <si>
    <t>ZETA</t>
  </si>
  <si>
    <t>$71.14M</t>
  </si>
  <si>
    <t>$2.39M</t>
  </si>
  <si>
    <t>EIGEN</t>
  </si>
  <si>
    <t>$114.02M</t>
  </si>
  <si>
    <t>$6.53M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</si>
</sst>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4">
    <font>
      <sz val="10.0"/>
      <color rgb="FF000000"/>
      <name val="Arial"/>
      <scheme val="minor"/>
    </font>
    <font>
      <color theme="1"/>
      <name val="Arial"/>
    </font>
    <font>
      <color theme="1"/>
      <name val="PplxSans"/>
    </font>
    <font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</fills>
  <borders count="3">
    <border/>
    <border>
      <right style="thin">
        <color rgb="FF000000"/>
      </right>
      <bottom style="thin">
        <color rgb="FF000000"/>
      </bottom>
    </border>
    <border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vertical="bottom"/>
    </xf>
    <xf borderId="0" fillId="2" fontId="1" numFmtId="0" xfId="0" applyAlignment="1" applyFont="1">
      <alignment readingOrder="0" vertical="bottom"/>
    </xf>
    <xf borderId="0" fillId="2" fontId="1" numFmtId="0" xfId="0" applyAlignment="1" applyFont="1">
      <alignment horizontal="center" vertical="bottom"/>
    </xf>
    <xf borderId="1" fillId="0" fontId="2" numFmtId="0" xfId="0" applyAlignment="1" applyBorder="1" applyFont="1">
      <alignment readingOrder="0"/>
    </xf>
    <xf borderId="1" fillId="0" fontId="2" numFmtId="164" xfId="0" applyAlignment="1" applyBorder="1" applyFont="1" applyNumberFormat="1">
      <alignment readingOrder="0"/>
    </xf>
    <xf borderId="1" fillId="0" fontId="2" numFmtId="0" xfId="0" applyBorder="1" applyFont="1"/>
    <xf borderId="1" fillId="0" fontId="2" numFmtId="10" xfId="0" applyAlignment="1" applyBorder="1" applyFont="1" applyNumberFormat="1">
      <alignment readingOrder="0"/>
    </xf>
    <xf borderId="1" fillId="0" fontId="2" numFmtId="0" xfId="0" applyAlignment="1" applyBorder="1" applyFont="1">
      <alignment horizontal="center" readingOrder="0"/>
    </xf>
    <xf borderId="2" fillId="0" fontId="2" numFmtId="10" xfId="0" applyAlignment="1" applyBorder="1" applyFont="1" applyNumberFormat="1">
      <alignment horizontal="center" readingOrder="0"/>
    </xf>
    <xf borderId="1" fillId="0" fontId="2" numFmtId="164" xfId="0" applyAlignment="1" applyBorder="1" applyFont="1" applyNumberFormat="1">
      <alignment horizontal="center" readingOrder="0"/>
    </xf>
    <xf borderId="2" fillId="0" fontId="2" numFmtId="0" xfId="0" applyAlignment="1" applyBorder="1" applyFont="1">
      <alignment horizontal="center" readingOrder="0"/>
    </xf>
    <xf borderId="0" fillId="0" fontId="3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6" max="6" width="14.88"/>
  </cols>
  <sheetData>
    <row r="1">
      <c r="A1" s="1" t="s">
        <v>0</v>
      </c>
      <c r="B1" s="2" t="s">
        <v>1</v>
      </c>
      <c r="C1" s="1" t="s">
        <v>2</v>
      </c>
      <c r="D1" s="2" t="s">
        <v>3</v>
      </c>
      <c r="E1" s="3" t="s">
        <v>4</v>
      </c>
      <c r="F1" s="3" t="s">
        <v>5</v>
      </c>
      <c r="G1" s="3" t="s">
        <v>6</v>
      </c>
    </row>
    <row r="2">
      <c r="A2" s="4" t="s">
        <v>7</v>
      </c>
      <c r="B2" s="5">
        <v>0.094</v>
      </c>
      <c r="C2" s="6">
        <f>+16.23%</f>
        <v>0.1623</v>
      </c>
      <c r="D2" s="4" t="s">
        <v>8</v>
      </c>
      <c r="E2" s="7">
        <v>0.8958</v>
      </c>
      <c r="F2" s="8" t="s">
        <v>9</v>
      </c>
      <c r="G2" s="9">
        <v>0.0078</v>
      </c>
    </row>
    <row r="3">
      <c r="A3" s="4" t="s">
        <v>10</v>
      </c>
      <c r="B3" s="5">
        <v>0.003248</v>
      </c>
      <c r="C3" s="6">
        <f>+1.35%</f>
        <v>0.0135</v>
      </c>
      <c r="D3" s="4" t="s">
        <v>11</v>
      </c>
      <c r="E3" s="7">
        <v>0.7225</v>
      </c>
      <c r="F3" s="8" t="s">
        <v>12</v>
      </c>
      <c r="G3" s="9">
        <v>0.0048</v>
      </c>
    </row>
    <row r="4">
      <c r="A4" s="4" t="s">
        <v>13</v>
      </c>
      <c r="B4" s="5">
        <v>0.015</v>
      </c>
      <c r="C4" s="7">
        <v>-0.0134</v>
      </c>
      <c r="D4" s="4" t="s">
        <v>14</v>
      </c>
      <c r="E4" s="7">
        <v>0.8596</v>
      </c>
      <c r="F4" s="8" t="s">
        <v>15</v>
      </c>
      <c r="G4" s="9">
        <v>6.0E-4</v>
      </c>
    </row>
    <row r="5">
      <c r="A5" s="4" t="s">
        <v>16</v>
      </c>
      <c r="B5" s="5">
        <v>0.124</v>
      </c>
      <c r="C5" s="7">
        <v>-0.0383</v>
      </c>
      <c r="D5" s="4" t="s">
        <v>17</v>
      </c>
      <c r="E5" s="7">
        <v>0.4672</v>
      </c>
      <c r="F5" s="8" t="s">
        <v>18</v>
      </c>
      <c r="G5" s="9">
        <v>0.0775</v>
      </c>
    </row>
    <row r="6">
      <c r="A6" s="4" t="s">
        <v>19</v>
      </c>
      <c r="B6" s="5">
        <v>0.054</v>
      </c>
      <c r="C6" s="4" t="s">
        <v>20</v>
      </c>
      <c r="D6" s="4" t="s">
        <v>21</v>
      </c>
      <c r="E6" s="7">
        <v>0.7515</v>
      </c>
      <c r="F6" s="8" t="s">
        <v>22</v>
      </c>
      <c r="G6" s="9">
        <v>0.0192</v>
      </c>
    </row>
    <row r="7">
      <c r="A7" s="4" t="s">
        <v>23</v>
      </c>
      <c r="B7" s="5">
        <v>0.001293</v>
      </c>
      <c r="C7" s="7">
        <v>-0.0114</v>
      </c>
      <c r="D7" s="4" t="s">
        <v>24</v>
      </c>
      <c r="E7" s="7">
        <v>0.6521</v>
      </c>
      <c r="F7" s="8" t="s">
        <v>25</v>
      </c>
      <c r="G7" s="9">
        <v>0.0073</v>
      </c>
    </row>
    <row r="8">
      <c r="A8" s="4" t="s">
        <v>26</v>
      </c>
      <c r="B8" s="5">
        <v>0.066</v>
      </c>
      <c r="C8" s="7">
        <v>-0.0329</v>
      </c>
      <c r="D8" s="4" t="s">
        <v>27</v>
      </c>
      <c r="E8" s="7">
        <v>0.8328</v>
      </c>
      <c r="F8" s="8" t="s">
        <v>28</v>
      </c>
      <c r="G8" s="9">
        <v>0.0032</v>
      </c>
    </row>
    <row r="9">
      <c r="A9" s="4" t="s">
        <v>29</v>
      </c>
      <c r="B9" s="5">
        <v>0.118</v>
      </c>
      <c r="C9" s="7">
        <v>-0.0243</v>
      </c>
      <c r="D9" s="4" t="s">
        <v>30</v>
      </c>
      <c r="E9" s="7">
        <v>0.0464</v>
      </c>
      <c r="F9" s="8" t="s">
        <v>31</v>
      </c>
      <c r="G9" s="9">
        <v>0.1062</v>
      </c>
    </row>
    <row r="10">
      <c r="A10" s="4" t="s">
        <v>32</v>
      </c>
      <c r="B10" s="5">
        <v>0.009498</v>
      </c>
      <c r="C10" s="6">
        <f>+0.03%</f>
        <v>0.0003</v>
      </c>
      <c r="D10" s="4" t="s">
        <v>33</v>
      </c>
      <c r="E10" s="7">
        <v>0.8023</v>
      </c>
      <c r="F10" s="8" t="s">
        <v>34</v>
      </c>
      <c r="G10" s="9">
        <v>0.0036</v>
      </c>
    </row>
    <row r="11">
      <c r="A11" s="4" t="s">
        <v>35</v>
      </c>
      <c r="B11" s="5">
        <v>0.069</v>
      </c>
      <c r="C11" s="7">
        <v>-0.0123</v>
      </c>
      <c r="D11" s="4" t="s">
        <v>36</v>
      </c>
      <c r="E11" s="7">
        <v>0.5303</v>
      </c>
      <c r="F11" s="8" t="s">
        <v>37</v>
      </c>
      <c r="G11" s="9">
        <v>0.0047</v>
      </c>
    </row>
    <row r="12">
      <c r="A12" s="4" t="s">
        <v>38</v>
      </c>
      <c r="B12" s="5">
        <v>0.343</v>
      </c>
      <c r="C12" s="7">
        <v>-0.0464</v>
      </c>
      <c r="D12" s="4" t="s">
        <v>39</v>
      </c>
      <c r="E12" s="7">
        <v>0.6141</v>
      </c>
      <c r="F12" s="10">
        <v>150.16</v>
      </c>
      <c r="G12" s="11" t="s">
        <v>40</v>
      </c>
    </row>
    <row r="13">
      <c r="A13" s="4" t="s">
        <v>41</v>
      </c>
      <c r="B13" s="4" t="s">
        <v>42</v>
      </c>
      <c r="C13" s="4" t="s">
        <v>20</v>
      </c>
      <c r="D13" s="4" t="s">
        <v>43</v>
      </c>
      <c r="E13" s="7">
        <v>0.3857</v>
      </c>
      <c r="F13" s="10">
        <v>0.0</v>
      </c>
      <c r="G13" s="9">
        <v>0.0521</v>
      </c>
    </row>
    <row r="14">
      <c r="A14" s="4" t="s">
        <v>44</v>
      </c>
      <c r="B14" s="5">
        <v>0.005753</v>
      </c>
      <c r="C14" s="7">
        <v>-0.0042</v>
      </c>
      <c r="D14" s="4" t="s">
        <v>45</v>
      </c>
      <c r="E14" s="7">
        <v>0.6206</v>
      </c>
      <c r="F14" s="8" t="s">
        <v>46</v>
      </c>
      <c r="G14" s="9">
        <v>0.0067</v>
      </c>
    </row>
    <row r="15">
      <c r="A15" s="4" t="s">
        <v>47</v>
      </c>
      <c r="B15" s="5">
        <v>0.295</v>
      </c>
      <c r="C15" s="6">
        <f>+4.38%</f>
        <v>0.0438</v>
      </c>
      <c r="D15" s="4" t="s">
        <v>20</v>
      </c>
      <c r="E15" s="7">
        <v>0.2909</v>
      </c>
      <c r="F15" s="8" t="s">
        <v>48</v>
      </c>
      <c r="G15" s="9">
        <v>0.0206</v>
      </c>
    </row>
    <row r="16">
      <c r="A16" s="4" t="s">
        <v>49</v>
      </c>
      <c r="B16" s="5">
        <v>0.105</v>
      </c>
      <c r="C16" s="7">
        <v>-0.0118</v>
      </c>
      <c r="D16" s="4" t="s">
        <v>50</v>
      </c>
      <c r="E16" s="7">
        <v>0.5082</v>
      </c>
      <c r="F16" s="8" t="s">
        <v>51</v>
      </c>
      <c r="G16" s="9">
        <v>0.0224</v>
      </c>
    </row>
    <row r="17">
      <c r="A17" s="4" t="s">
        <v>52</v>
      </c>
      <c r="B17" s="5">
        <v>1.86E-4</v>
      </c>
      <c r="C17" s="6">
        <f>+0.85%</f>
        <v>0.0085</v>
      </c>
      <c r="D17" s="4" t="s">
        <v>53</v>
      </c>
      <c r="E17" s="7">
        <v>0.0981</v>
      </c>
      <c r="F17" s="8" t="s">
        <v>54</v>
      </c>
      <c r="G17" s="9">
        <v>0.0318</v>
      </c>
    </row>
    <row r="18">
      <c r="A18" s="4" t="s">
        <v>55</v>
      </c>
      <c r="B18" s="5">
        <v>0.054</v>
      </c>
      <c r="C18" s="7">
        <v>-0.0019</v>
      </c>
      <c r="D18" s="4" t="s">
        <v>56</v>
      </c>
      <c r="E18" s="7">
        <v>0.3469</v>
      </c>
      <c r="F18" s="8" t="s">
        <v>57</v>
      </c>
      <c r="G18" s="9">
        <v>0.008</v>
      </c>
    </row>
    <row r="19">
      <c r="A19" s="4" t="s">
        <v>58</v>
      </c>
      <c r="B19" s="5">
        <v>30.75</v>
      </c>
      <c r="C19" s="7">
        <v>-0.0068</v>
      </c>
      <c r="D19" s="4" t="s">
        <v>59</v>
      </c>
      <c r="E19" s="7">
        <v>0.4054</v>
      </c>
      <c r="F19" s="8" t="s">
        <v>60</v>
      </c>
      <c r="G19" s="9">
        <v>0.0272</v>
      </c>
    </row>
    <row r="20">
      <c r="A20" s="4" t="s">
        <v>61</v>
      </c>
      <c r="B20" s="5">
        <v>5.88E-4</v>
      </c>
      <c r="C20" s="7">
        <v>-0.012</v>
      </c>
      <c r="D20" s="4" t="s">
        <v>62</v>
      </c>
      <c r="E20" s="7">
        <v>0.2432</v>
      </c>
      <c r="F20" s="8" t="s">
        <v>63</v>
      </c>
      <c r="G20" s="9">
        <v>0.0081</v>
      </c>
    </row>
    <row r="21">
      <c r="A21" s="4" t="s">
        <v>64</v>
      </c>
      <c r="B21" s="5">
        <v>0.019</v>
      </c>
      <c r="C21" s="7">
        <v>-0.042</v>
      </c>
      <c r="D21" s="4" t="s">
        <v>65</v>
      </c>
      <c r="E21" s="7">
        <v>0.5459</v>
      </c>
      <c r="F21" s="8" t="s">
        <v>66</v>
      </c>
      <c r="G21" s="9">
        <v>0.0092</v>
      </c>
    </row>
    <row r="22">
      <c r="A22" s="4" t="s">
        <v>67</v>
      </c>
      <c r="B22" s="5">
        <v>0.15</v>
      </c>
      <c r="C22" s="7">
        <v>-0.0084</v>
      </c>
      <c r="D22" s="4" t="s">
        <v>68</v>
      </c>
      <c r="E22" s="7">
        <v>0.2532</v>
      </c>
      <c r="F22" s="8" t="s">
        <v>69</v>
      </c>
      <c r="G22" s="9">
        <v>0.1613</v>
      </c>
    </row>
    <row r="23">
      <c r="A23" s="4" t="s">
        <v>70</v>
      </c>
      <c r="B23" s="5">
        <v>0.027</v>
      </c>
      <c r="C23" s="7">
        <v>-0.0236</v>
      </c>
      <c r="D23" s="4" t="s">
        <v>71</v>
      </c>
      <c r="E23" s="7">
        <v>0.4995</v>
      </c>
      <c r="F23" s="8" t="s">
        <v>72</v>
      </c>
      <c r="G23" s="9">
        <v>0.0107</v>
      </c>
    </row>
    <row r="24">
      <c r="A24" s="4" t="s">
        <v>73</v>
      </c>
      <c r="B24" s="5">
        <v>7.6E-4</v>
      </c>
      <c r="C24" s="6">
        <f>+0.18%</f>
        <v>0.0018</v>
      </c>
      <c r="D24" s="4" t="s">
        <v>74</v>
      </c>
      <c r="E24" s="7">
        <v>0.9301</v>
      </c>
      <c r="F24" s="8" t="s">
        <v>75</v>
      </c>
      <c r="G24" s="9">
        <v>0.0049</v>
      </c>
    </row>
    <row r="25">
      <c r="A25" s="4" t="s">
        <v>76</v>
      </c>
      <c r="B25" s="5">
        <v>0.154</v>
      </c>
      <c r="C25" s="6">
        <f>+2.63%</f>
        <v>0.0263</v>
      </c>
      <c r="D25" s="4" t="s">
        <v>77</v>
      </c>
      <c r="E25" s="7">
        <v>0.6211</v>
      </c>
      <c r="F25" s="8" t="s">
        <v>78</v>
      </c>
      <c r="G25" s="9">
        <v>0.0045</v>
      </c>
    </row>
    <row r="26">
      <c r="A26" s="4" t="s">
        <v>79</v>
      </c>
      <c r="B26" s="5">
        <v>0.014</v>
      </c>
      <c r="C26" s="7">
        <v>-0.0431</v>
      </c>
      <c r="D26" s="4" t="s">
        <v>80</v>
      </c>
      <c r="E26" s="7">
        <v>0.7813</v>
      </c>
      <c r="F26" s="8" t="s">
        <v>81</v>
      </c>
      <c r="G26" s="9">
        <v>0.0152</v>
      </c>
    </row>
    <row r="27">
      <c r="A27" s="4" t="s">
        <v>82</v>
      </c>
      <c r="B27" s="5">
        <v>0.122</v>
      </c>
      <c r="C27" s="7">
        <v>-0.0184</v>
      </c>
      <c r="D27" s="4" t="s">
        <v>83</v>
      </c>
      <c r="E27" s="7">
        <v>0.4651</v>
      </c>
      <c r="F27" s="8" t="s">
        <v>84</v>
      </c>
      <c r="G27" s="9">
        <v>0.0098</v>
      </c>
    </row>
    <row r="28">
      <c r="A28" s="4" t="s">
        <v>85</v>
      </c>
      <c r="B28" s="5">
        <v>0.002189</v>
      </c>
      <c r="C28" s="6">
        <f>+2.12%</f>
        <v>0.0212</v>
      </c>
      <c r="D28" s="4" t="s">
        <v>86</v>
      </c>
      <c r="E28" s="7">
        <v>0.2505</v>
      </c>
      <c r="F28" s="8" t="s">
        <v>87</v>
      </c>
      <c r="G28" s="9">
        <v>0.2192</v>
      </c>
    </row>
    <row r="29">
      <c r="A29" s="4" t="s">
        <v>88</v>
      </c>
      <c r="B29" s="5">
        <v>0.068</v>
      </c>
      <c r="C29" s="7">
        <v>-0.0215</v>
      </c>
      <c r="D29" s="4" t="s">
        <v>89</v>
      </c>
      <c r="E29" s="7">
        <v>0.3046</v>
      </c>
      <c r="F29" s="8" t="s">
        <v>90</v>
      </c>
      <c r="G29" s="9">
        <v>0.0193</v>
      </c>
    </row>
    <row r="30">
      <c r="A30" s="4" t="s">
        <v>91</v>
      </c>
      <c r="B30" s="5">
        <v>0.015</v>
      </c>
      <c r="C30" s="7">
        <v>-0.0171</v>
      </c>
      <c r="D30" s="4" t="s">
        <v>92</v>
      </c>
      <c r="E30" s="7">
        <v>0.615</v>
      </c>
      <c r="F30" s="10">
        <v>739.38</v>
      </c>
      <c r="G30" s="11" t="s">
        <v>40</v>
      </c>
    </row>
    <row r="31">
      <c r="A31" s="4" t="s">
        <v>93</v>
      </c>
      <c r="B31" s="5">
        <v>0.006842</v>
      </c>
      <c r="C31" s="7">
        <v>-0.0518</v>
      </c>
      <c r="D31" s="4" t="s">
        <v>94</v>
      </c>
      <c r="E31" s="7">
        <v>0.9644</v>
      </c>
      <c r="F31" s="8" t="s">
        <v>95</v>
      </c>
      <c r="G31" s="9">
        <v>0.0026</v>
      </c>
    </row>
    <row r="32">
      <c r="A32" s="4" t="s">
        <v>96</v>
      </c>
      <c r="B32" s="5">
        <v>0.019</v>
      </c>
      <c r="C32" s="7">
        <v>-0.0681</v>
      </c>
      <c r="D32" s="4" t="s">
        <v>97</v>
      </c>
      <c r="E32" s="7">
        <v>0.3243</v>
      </c>
      <c r="F32" s="8" t="s">
        <v>98</v>
      </c>
      <c r="G32" s="9">
        <v>0.0152</v>
      </c>
    </row>
    <row r="33">
      <c r="A33" s="4" t="s">
        <v>99</v>
      </c>
      <c r="B33" s="5">
        <v>1.27</v>
      </c>
      <c r="C33" s="7">
        <v>-0.048</v>
      </c>
      <c r="D33" s="4" t="s">
        <v>100</v>
      </c>
      <c r="E33" s="7">
        <v>0.9976</v>
      </c>
      <c r="F33" s="8" t="s">
        <v>101</v>
      </c>
      <c r="G33" s="9">
        <v>0.0024</v>
      </c>
    </row>
    <row r="34">
      <c r="A34" s="4" t="s">
        <v>102</v>
      </c>
      <c r="B34" s="5">
        <v>0.024</v>
      </c>
      <c r="C34" s="7">
        <v>-0.0548</v>
      </c>
      <c r="D34" s="4" t="s">
        <v>103</v>
      </c>
      <c r="E34" s="7">
        <v>0.4965</v>
      </c>
      <c r="F34" s="8" t="s">
        <v>104</v>
      </c>
      <c r="G34" s="9">
        <v>0.0287</v>
      </c>
    </row>
    <row r="35">
      <c r="A35" s="4" t="s">
        <v>105</v>
      </c>
      <c r="B35" s="5">
        <v>0.026</v>
      </c>
      <c r="C35" s="7">
        <v>-0.0054</v>
      </c>
      <c r="D35" s="4" t="s">
        <v>106</v>
      </c>
      <c r="E35" s="7">
        <v>0.9033</v>
      </c>
      <c r="F35" s="8" t="s">
        <v>107</v>
      </c>
      <c r="G35" s="9">
        <v>0.0021</v>
      </c>
    </row>
    <row r="36">
      <c r="A36" s="4" t="s">
        <v>108</v>
      </c>
      <c r="B36" s="5">
        <v>0.022</v>
      </c>
      <c r="C36" s="7">
        <v>-0.0263</v>
      </c>
      <c r="D36" s="4" t="s">
        <v>109</v>
      </c>
      <c r="E36" s="7">
        <v>0.3179</v>
      </c>
      <c r="F36" s="8" t="s">
        <v>110</v>
      </c>
      <c r="G36" s="9">
        <v>0.0518</v>
      </c>
    </row>
    <row r="37">
      <c r="A37" s="4" t="s">
        <v>111</v>
      </c>
      <c r="B37" s="5">
        <v>0.003152</v>
      </c>
      <c r="C37" s="7">
        <v>-0.0047</v>
      </c>
      <c r="D37" s="4" t="s">
        <v>112</v>
      </c>
      <c r="E37" s="7">
        <v>0.522</v>
      </c>
      <c r="F37" s="8" t="s">
        <v>113</v>
      </c>
      <c r="G37" s="9">
        <v>0.0077</v>
      </c>
    </row>
    <row r="38">
      <c r="A38" s="4" t="s">
        <v>114</v>
      </c>
      <c r="B38" s="5">
        <v>0.115</v>
      </c>
      <c r="C38" s="7">
        <v>-0.0381</v>
      </c>
      <c r="D38" s="4" t="s">
        <v>115</v>
      </c>
      <c r="E38" s="7">
        <v>0.4739</v>
      </c>
      <c r="F38" s="8" t="s">
        <v>116</v>
      </c>
      <c r="G38" s="9">
        <v>0.0226</v>
      </c>
    </row>
    <row r="39">
      <c r="A39" s="4" t="s">
        <v>117</v>
      </c>
      <c r="B39" s="5">
        <v>0.055</v>
      </c>
      <c r="C39" s="7">
        <v>-0.0364</v>
      </c>
      <c r="D39" s="4" t="s">
        <v>118</v>
      </c>
      <c r="E39" s="7">
        <v>0.7712</v>
      </c>
      <c r="F39" s="8" t="s">
        <v>119</v>
      </c>
      <c r="G39" s="9">
        <v>0.0019</v>
      </c>
    </row>
    <row r="40">
      <c r="A40" s="4" t="s">
        <v>120</v>
      </c>
      <c r="B40" s="5">
        <v>0.003662</v>
      </c>
      <c r="C40" s="6">
        <f>+1.91%</f>
        <v>0.0191</v>
      </c>
      <c r="D40" s="4" t="s">
        <v>121</v>
      </c>
      <c r="E40" s="7">
        <v>0.485</v>
      </c>
      <c r="F40" s="8" t="s">
        <v>122</v>
      </c>
      <c r="G40" s="9">
        <v>0.011</v>
      </c>
    </row>
    <row r="41">
      <c r="A41" s="4" t="s">
        <v>123</v>
      </c>
      <c r="B41" s="5">
        <v>1.32E-4</v>
      </c>
      <c r="C41" s="7">
        <v>-0.0025</v>
      </c>
      <c r="D41" s="4" t="s">
        <v>124</v>
      </c>
      <c r="E41" s="7">
        <v>0.6618</v>
      </c>
      <c r="F41" s="8" t="s">
        <v>125</v>
      </c>
      <c r="G41" s="9">
        <v>0.012</v>
      </c>
    </row>
    <row r="42">
      <c r="A42" s="4" t="s">
        <v>126</v>
      </c>
      <c r="B42" s="5">
        <v>0.003054</v>
      </c>
      <c r="C42" s="7">
        <v>-0.0487</v>
      </c>
      <c r="D42" s="4" t="s">
        <v>127</v>
      </c>
      <c r="E42" s="7">
        <v>0.3408</v>
      </c>
      <c r="F42" s="8" t="s">
        <v>128</v>
      </c>
      <c r="G42" s="9">
        <v>0.0562</v>
      </c>
    </row>
    <row r="43">
      <c r="A43" s="4" t="s">
        <v>129</v>
      </c>
      <c r="B43" s="5">
        <v>0.011</v>
      </c>
      <c r="C43" s="7">
        <v>-0.0147</v>
      </c>
      <c r="D43" s="4" t="s">
        <v>130</v>
      </c>
      <c r="E43" s="7">
        <v>0.6965</v>
      </c>
      <c r="F43" s="8" t="s">
        <v>131</v>
      </c>
      <c r="G43" s="9">
        <v>0.033</v>
      </c>
    </row>
    <row r="44">
      <c r="A44" s="4" t="s">
        <v>132</v>
      </c>
      <c r="B44" s="5">
        <v>0.107</v>
      </c>
      <c r="C44" s="7">
        <v>-0.0375</v>
      </c>
      <c r="D44" s="4" t="s">
        <v>133</v>
      </c>
      <c r="E44" s="7">
        <v>0.3789</v>
      </c>
      <c r="F44" s="8" t="s">
        <v>134</v>
      </c>
      <c r="G44" s="9">
        <v>0.0437</v>
      </c>
    </row>
    <row r="45">
      <c r="A45" s="4" t="s">
        <v>135</v>
      </c>
      <c r="B45" s="5">
        <v>0.001686</v>
      </c>
      <c r="C45" s="7">
        <v>-0.0516</v>
      </c>
      <c r="D45" s="4" t="s">
        <v>136</v>
      </c>
      <c r="E45" s="7">
        <v>0.9193</v>
      </c>
      <c r="F45" s="8" t="s">
        <v>137</v>
      </c>
      <c r="G45" s="9">
        <v>0.0089</v>
      </c>
    </row>
    <row r="46">
      <c r="A46" s="4" t="s">
        <v>138</v>
      </c>
      <c r="B46" s="5">
        <v>0.034</v>
      </c>
      <c r="C46" s="7">
        <v>-0.0241</v>
      </c>
      <c r="D46" s="4" t="s">
        <v>139</v>
      </c>
      <c r="E46" s="7">
        <v>0.8039</v>
      </c>
      <c r="F46" s="8" t="s">
        <v>140</v>
      </c>
      <c r="G46" s="9">
        <v>0.0065</v>
      </c>
    </row>
    <row r="47">
      <c r="A47" s="4" t="s">
        <v>141</v>
      </c>
      <c r="B47" s="5">
        <v>0.016</v>
      </c>
      <c r="C47" s="7">
        <v>-0.0205</v>
      </c>
      <c r="D47" s="4" t="s">
        <v>142</v>
      </c>
      <c r="E47" s="7">
        <v>0.3577</v>
      </c>
      <c r="F47" s="8" t="s">
        <v>143</v>
      </c>
      <c r="G47" s="9">
        <v>0.0444</v>
      </c>
    </row>
    <row r="48">
      <c r="A48" s="4" t="s">
        <v>144</v>
      </c>
      <c r="B48" s="5">
        <v>0.945</v>
      </c>
      <c r="C48" s="7">
        <v>-0.0211</v>
      </c>
      <c r="D48" s="4" t="s">
        <v>145</v>
      </c>
      <c r="E48" s="7">
        <v>0.6308</v>
      </c>
      <c r="F48" s="8" t="s">
        <v>146</v>
      </c>
      <c r="G48" s="9">
        <v>0.0069</v>
      </c>
    </row>
    <row r="49">
      <c r="A49" s="4" t="s">
        <v>147</v>
      </c>
      <c r="B49" s="5">
        <v>0.412</v>
      </c>
      <c r="C49" s="7">
        <v>-0.021</v>
      </c>
      <c r="D49" s="4" t="s">
        <v>20</v>
      </c>
      <c r="E49" s="7">
        <v>0.7749</v>
      </c>
      <c r="F49" s="8" t="s">
        <v>148</v>
      </c>
      <c r="G49" s="9">
        <v>0.0083</v>
      </c>
    </row>
    <row r="50">
      <c r="A50" s="4" t="s">
        <v>149</v>
      </c>
      <c r="B50" s="5">
        <v>0.029</v>
      </c>
      <c r="C50" s="7">
        <v>-0.0275</v>
      </c>
      <c r="D50" s="4" t="s">
        <v>150</v>
      </c>
      <c r="E50" s="7">
        <v>0.1743</v>
      </c>
      <c r="F50" s="8" t="s">
        <v>151</v>
      </c>
      <c r="G50" s="9">
        <v>0.1099</v>
      </c>
    </row>
    <row r="51">
      <c r="A51" s="4" t="s">
        <v>152</v>
      </c>
      <c r="B51" s="5">
        <v>49.08</v>
      </c>
      <c r="C51" s="7">
        <v>-0.019</v>
      </c>
      <c r="D51" s="4" t="s">
        <v>153</v>
      </c>
      <c r="E51" s="7">
        <v>0.7338</v>
      </c>
      <c r="F51" s="8" t="s">
        <v>154</v>
      </c>
      <c r="G51" s="9">
        <v>0.2777</v>
      </c>
    </row>
    <row r="52">
      <c r="A52" s="4" t="s">
        <v>155</v>
      </c>
      <c r="B52" s="5">
        <v>0.014</v>
      </c>
      <c r="C52" s="7">
        <v>-0.0508</v>
      </c>
      <c r="D52" s="4" t="s">
        <v>156</v>
      </c>
      <c r="E52" s="7">
        <v>0.8066</v>
      </c>
      <c r="F52" s="8" t="s">
        <v>157</v>
      </c>
      <c r="G52" s="9">
        <v>0.0041</v>
      </c>
    </row>
    <row r="53">
      <c r="A53" s="4" t="s">
        <v>158</v>
      </c>
      <c r="B53" s="5">
        <v>0.004622</v>
      </c>
      <c r="C53" s="7">
        <v>-0.0447</v>
      </c>
      <c r="D53" s="4" t="s">
        <v>159</v>
      </c>
      <c r="E53" s="7">
        <v>0.7788</v>
      </c>
      <c r="F53" s="8" t="s">
        <v>160</v>
      </c>
      <c r="G53" s="9">
        <v>0.0079</v>
      </c>
    </row>
    <row r="54">
      <c r="A54" s="4" t="s">
        <v>161</v>
      </c>
      <c r="B54" s="5">
        <v>0.059</v>
      </c>
      <c r="C54" s="7">
        <v>-0.0151</v>
      </c>
      <c r="D54" s="4" t="s">
        <v>162</v>
      </c>
      <c r="E54" s="7">
        <v>0.359</v>
      </c>
      <c r="F54" s="8" t="s">
        <v>163</v>
      </c>
      <c r="G54" s="9">
        <v>0.0351</v>
      </c>
    </row>
    <row r="55">
      <c r="A55" s="4" t="s">
        <v>164</v>
      </c>
      <c r="B55" s="5">
        <v>11.36</v>
      </c>
      <c r="C55" s="7">
        <v>-0.005</v>
      </c>
      <c r="D55" s="4" t="s">
        <v>165</v>
      </c>
      <c r="E55" s="7">
        <v>0.8595</v>
      </c>
      <c r="F55" s="8" t="s">
        <v>166</v>
      </c>
      <c r="G55" s="9">
        <v>0.0154</v>
      </c>
    </row>
    <row r="56">
      <c r="A56" s="4" t="s">
        <v>167</v>
      </c>
      <c r="B56" s="5">
        <v>0.001061</v>
      </c>
      <c r="C56" s="6">
        <f>+9.42%</f>
        <v>0.0942</v>
      </c>
      <c r="D56" s="4" t="s">
        <v>168</v>
      </c>
      <c r="E56" s="7">
        <v>0.4257</v>
      </c>
      <c r="F56" s="8" t="s">
        <v>169</v>
      </c>
      <c r="G56" s="9">
        <v>0.0091</v>
      </c>
    </row>
    <row r="57">
      <c r="A57" s="4" t="s">
        <v>170</v>
      </c>
      <c r="B57" s="5">
        <v>0.023</v>
      </c>
      <c r="C57" s="7">
        <v>-0.0455</v>
      </c>
      <c r="D57" s="4" t="s">
        <v>171</v>
      </c>
      <c r="E57" s="7">
        <v>0.6867</v>
      </c>
      <c r="F57" s="8" t="s">
        <v>172</v>
      </c>
      <c r="G57" s="9">
        <v>0.0121</v>
      </c>
    </row>
    <row r="58">
      <c r="A58" s="4" t="s">
        <v>173</v>
      </c>
      <c r="B58" s="5">
        <v>0.041</v>
      </c>
      <c r="C58" s="7">
        <v>-0.0384</v>
      </c>
      <c r="D58" s="4" t="s">
        <v>174</v>
      </c>
      <c r="E58" s="7">
        <v>0.2885</v>
      </c>
      <c r="F58" s="8" t="s">
        <v>175</v>
      </c>
      <c r="G58" s="9">
        <v>0.044</v>
      </c>
    </row>
    <row r="59">
      <c r="A59" s="4" t="s">
        <v>176</v>
      </c>
      <c r="B59" s="5">
        <v>0.832</v>
      </c>
      <c r="C59" s="7">
        <v>-0.0484</v>
      </c>
      <c r="D59" s="4" t="s">
        <v>177</v>
      </c>
      <c r="E59" s="7">
        <v>0.6418</v>
      </c>
      <c r="F59" s="8" t="s">
        <v>178</v>
      </c>
      <c r="G59" s="9">
        <v>0.0138</v>
      </c>
    </row>
    <row r="60">
      <c r="A60" s="4" t="s">
        <v>179</v>
      </c>
      <c r="B60" s="5">
        <v>0.016</v>
      </c>
      <c r="C60" s="7">
        <v>-0.0047</v>
      </c>
      <c r="D60" s="4" t="s">
        <v>180</v>
      </c>
      <c r="E60" s="7">
        <v>0.0969</v>
      </c>
      <c r="F60" s="8" t="s">
        <v>181</v>
      </c>
      <c r="G60" s="9">
        <v>0.0159</v>
      </c>
    </row>
    <row r="61">
      <c r="A61" s="4" t="s">
        <v>182</v>
      </c>
      <c r="B61" s="5">
        <v>0.069</v>
      </c>
      <c r="C61" s="7">
        <v>-0.0016</v>
      </c>
      <c r="D61" s="4" t="s">
        <v>183</v>
      </c>
      <c r="E61" s="7">
        <v>0.5516</v>
      </c>
      <c r="F61" s="8" t="s">
        <v>184</v>
      </c>
      <c r="G61" s="9">
        <v>0.01</v>
      </c>
    </row>
    <row r="62">
      <c r="A62" s="4" t="s">
        <v>185</v>
      </c>
      <c r="B62" s="5">
        <v>0.235</v>
      </c>
      <c r="C62" s="7">
        <v>-0.116</v>
      </c>
      <c r="D62" s="4" t="s">
        <v>186</v>
      </c>
      <c r="E62" s="7">
        <v>0.8781</v>
      </c>
      <c r="F62" s="8" t="s">
        <v>187</v>
      </c>
      <c r="G62" s="9">
        <v>0.0033</v>
      </c>
    </row>
    <row r="63">
      <c r="A63" s="4" t="s">
        <v>188</v>
      </c>
      <c r="B63" s="5">
        <v>4.5E-5</v>
      </c>
      <c r="C63" s="7">
        <v>-0.0138</v>
      </c>
      <c r="D63" s="4" t="s">
        <v>189</v>
      </c>
      <c r="E63" s="7">
        <v>0.8703</v>
      </c>
      <c r="F63" s="10">
        <v>428.44</v>
      </c>
      <c r="G63" s="9">
        <v>0.011</v>
      </c>
    </row>
    <row r="64">
      <c r="A64" s="4" t="s">
        <v>190</v>
      </c>
      <c r="B64" s="5">
        <v>0.101</v>
      </c>
      <c r="C64" s="7">
        <v>-0.011</v>
      </c>
      <c r="D64" s="4" t="s">
        <v>191</v>
      </c>
      <c r="E64" s="7">
        <v>0.5195</v>
      </c>
      <c r="F64" s="8" t="s">
        <v>192</v>
      </c>
      <c r="G64" s="9">
        <v>0.0178</v>
      </c>
    </row>
    <row r="65">
      <c r="A65" s="4" t="s">
        <v>193</v>
      </c>
      <c r="B65" s="5">
        <v>0.007134</v>
      </c>
      <c r="C65" s="7">
        <v>-0.0332</v>
      </c>
      <c r="D65" s="4" t="s">
        <v>194</v>
      </c>
      <c r="E65" s="7">
        <v>0.5559</v>
      </c>
      <c r="F65" s="8" t="s">
        <v>195</v>
      </c>
      <c r="G65" s="9">
        <v>0.0022</v>
      </c>
    </row>
    <row r="66">
      <c r="A66" s="4" t="s">
        <v>196</v>
      </c>
      <c r="B66" s="5">
        <v>0.003464</v>
      </c>
      <c r="C66" s="4" t="s">
        <v>20</v>
      </c>
      <c r="D66" s="4" t="s">
        <v>197</v>
      </c>
      <c r="E66" s="7">
        <v>0.5509</v>
      </c>
      <c r="F66" s="8" t="s">
        <v>198</v>
      </c>
      <c r="G66" s="9">
        <v>0.016</v>
      </c>
    </row>
    <row r="67">
      <c r="A67" s="4" t="s">
        <v>199</v>
      </c>
      <c r="B67" s="5">
        <v>9.74E-4</v>
      </c>
      <c r="C67" s="7">
        <v>-0.0269</v>
      </c>
      <c r="D67" s="4" t="s">
        <v>200</v>
      </c>
      <c r="E67" s="7">
        <v>0.2364</v>
      </c>
      <c r="F67" s="8" t="s">
        <v>201</v>
      </c>
      <c r="G67" s="9">
        <v>0.0433</v>
      </c>
    </row>
    <row r="68">
      <c r="A68" s="4" t="s">
        <v>202</v>
      </c>
      <c r="B68" s="5">
        <v>0.019</v>
      </c>
      <c r="C68" s="7">
        <v>-0.0306</v>
      </c>
      <c r="D68" s="4" t="s">
        <v>203</v>
      </c>
      <c r="E68" s="7">
        <v>0.2775</v>
      </c>
      <c r="F68" s="8" t="s">
        <v>204</v>
      </c>
      <c r="G68" s="9">
        <v>0.0297</v>
      </c>
    </row>
    <row r="69">
      <c r="A69" s="4" t="s">
        <v>205</v>
      </c>
      <c r="B69" s="5">
        <v>0.003834</v>
      </c>
      <c r="C69" s="7">
        <v>-0.0499</v>
      </c>
      <c r="D69" s="4" t="s">
        <v>206</v>
      </c>
      <c r="E69" s="7">
        <v>0.3258</v>
      </c>
      <c r="F69" s="8" t="s">
        <v>207</v>
      </c>
      <c r="G69" s="9">
        <v>0.0603</v>
      </c>
    </row>
    <row r="70">
      <c r="A70" s="4" t="s">
        <v>208</v>
      </c>
      <c r="B70" s="5">
        <v>0.015</v>
      </c>
      <c r="C70" s="7">
        <v>-0.034</v>
      </c>
      <c r="D70" s="4" t="s">
        <v>209</v>
      </c>
      <c r="E70" s="7">
        <v>0.579</v>
      </c>
      <c r="F70" s="8" t="s">
        <v>210</v>
      </c>
      <c r="G70" s="9">
        <v>0.0183</v>
      </c>
    </row>
    <row r="71">
      <c r="A71" s="4" t="s">
        <v>211</v>
      </c>
      <c r="B71" s="5">
        <v>0.039</v>
      </c>
      <c r="C71" s="7">
        <v>-0.0235</v>
      </c>
      <c r="D71" s="4" t="s">
        <v>212</v>
      </c>
      <c r="E71" s="7">
        <v>0.4233</v>
      </c>
      <c r="F71" s="8" t="s">
        <v>213</v>
      </c>
      <c r="G71" s="9">
        <v>0.0372</v>
      </c>
    </row>
    <row r="72">
      <c r="A72" s="4" t="s">
        <v>214</v>
      </c>
      <c r="B72" s="5">
        <v>1.01</v>
      </c>
      <c r="C72" s="6">
        <f>+0.35%</f>
        <v>0.0035</v>
      </c>
      <c r="D72" s="4" t="s">
        <v>215</v>
      </c>
      <c r="E72" s="7">
        <v>0.265</v>
      </c>
      <c r="F72" s="8" t="s">
        <v>216</v>
      </c>
      <c r="G72" s="9">
        <v>0.1109</v>
      </c>
    </row>
    <row r="73">
      <c r="A73" s="4" t="s">
        <v>217</v>
      </c>
      <c r="B73" s="5">
        <v>0.019</v>
      </c>
      <c r="C73" s="7">
        <v>-0.0087</v>
      </c>
      <c r="D73" s="4" t="s">
        <v>218</v>
      </c>
      <c r="E73" s="7">
        <v>0.4844</v>
      </c>
      <c r="F73" s="8" t="s">
        <v>219</v>
      </c>
      <c r="G73" s="9">
        <v>0.0069</v>
      </c>
    </row>
    <row r="74">
      <c r="A74" s="4" t="s">
        <v>220</v>
      </c>
      <c r="B74" s="5">
        <v>0.024</v>
      </c>
      <c r="C74" s="7">
        <v>-0.0261</v>
      </c>
      <c r="D74" s="4" t="s">
        <v>221</v>
      </c>
      <c r="E74" s="7">
        <v>0.4481</v>
      </c>
      <c r="F74" s="8" t="s">
        <v>222</v>
      </c>
      <c r="G74" s="9">
        <v>0.0635</v>
      </c>
    </row>
    <row r="75">
      <c r="A75" s="4" t="s">
        <v>223</v>
      </c>
      <c r="B75" s="5">
        <v>0.299</v>
      </c>
      <c r="C75" s="7">
        <v>-0.0424</v>
      </c>
      <c r="D75" s="4" t="s">
        <v>224</v>
      </c>
      <c r="E75" s="7">
        <v>0.6476</v>
      </c>
      <c r="F75" s="8" t="s">
        <v>225</v>
      </c>
      <c r="G75" s="9">
        <v>0.0012</v>
      </c>
    </row>
    <row r="76">
      <c r="A76" s="4" t="s">
        <v>226</v>
      </c>
      <c r="B76" s="5">
        <v>0.327</v>
      </c>
      <c r="C76" s="7">
        <v>-0.0057</v>
      </c>
      <c r="D76" s="4" t="s">
        <v>227</v>
      </c>
      <c r="E76" s="7">
        <v>0.425</v>
      </c>
      <c r="F76" s="8" t="s">
        <v>228</v>
      </c>
      <c r="G76" s="9">
        <v>0.049</v>
      </c>
    </row>
    <row r="77">
      <c r="A77" s="4" t="s">
        <v>229</v>
      </c>
      <c r="B77" s="5">
        <v>0.004809</v>
      </c>
      <c r="C77" s="7">
        <v>-0.0496</v>
      </c>
      <c r="D77" s="4" t="s">
        <v>230</v>
      </c>
      <c r="E77" s="7">
        <v>0.5109</v>
      </c>
      <c r="F77" s="8" t="s">
        <v>231</v>
      </c>
      <c r="G77" s="9">
        <v>0.0357</v>
      </c>
    </row>
    <row r="78">
      <c r="A78" s="4" t="s">
        <v>232</v>
      </c>
      <c r="B78" s="5">
        <v>0.055</v>
      </c>
      <c r="C78" s="7">
        <v>-0.0092</v>
      </c>
      <c r="D78" s="4" t="s">
        <v>233</v>
      </c>
      <c r="E78" s="7">
        <v>0.105</v>
      </c>
      <c r="F78" s="8" t="s">
        <v>234</v>
      </c>
      <c r="G78" s="9">
        <v>0.6845</v>
      </c>
    </row>
    <row r="79">
      <c r="A79" s="4" t="s">
        <v>235</v>
      </c>
      <c r="B79" s="5">
        <v>0.083</v>
      </c>
      <c r="C79" s="7">
        <v>-0.0419</v>
      </c>
      <c r="D79" s="4" t="s">
        <v>236</v>
      </c>
      <c r="E79" s="7">
        <v>0.5381</v>
      </c>
      <c r="F79" s="8" t="s">
        <v>237</v>
      </c>
      <c r="G79" s="9">
        <v>0.0617</v>
      </c>
    </row>
    <row r="80">
      <c r="A80" s="4" t="s">
        <v>238</v>
      </c>
      <c r="B80" s="5">
        <v>1.83</v>
      </c>
      <c r="C80" s="6">
        <f>+1.67%</f>
        <v>0.0167</v>
      </c>
      <c r="D80" s="4" t="s">
        <v>239</v>
      </c>
      <c r="E80" s="7">
        <v>0.4557</v>
      </c>
      <c r="F80" s="8" t="s">
        <v>240</v>
      </c>
      <c r="G80" s="9">
        <v>0.0564</v>
      </c>
    </row>
    <row r="81">
      <c r="A81" s="4" t="s">
        <v>241</v>
      </c>
      <c r="B81" s="5">
        <v>0.331</v>
      </c>
      <c r="C81" s="7">
        <v>-0.0353</v>
      </c>
      <c r="D81" s="4" t="s">
        <v>242</v>
      </c>
      <c r="E81" s="7">
        <v>0.3391</v>
      </c>
      <c r="F81" s="8" t="s">
        <v>243</v>
      </c>
      <c r="G81" s="9">
        <v>0.0519</v>
      </c>
    </row>
    <row r="82">
      <c r="A82" s="4" t="s">
        <v>244</v>
      </c>
      <c r="B82" s="5">
        <v>9.72E-4</v>
      </c>
      <c r="C82" s="7">
        <v>-0.0606</v>
      </c>
      <c r="D82" s="4" t="s">
        <v>245</v>
      </c>
      <c r="E82" s="7">
        <v>0.4482</v>
      </c>
      <c r="F82" s="8" t="s">
        <v>246</v>
      </c>
      <c r="G82" s="9">
        <v>0.0675</v>
      </c>
    </row>
    <row r="83">
      <c r="A83" s="4" t="s">
        <v>247</v>
      </c>
      <c r="B83" s="5">
        <v>14.29</v>
      </c>
      <c r="C83" s="6">
        <f>+12.32%</f>
        <v>0.1232</v>
      </c>
      <c r="D83" s="4" t="s">
        <v>248</v>
      </c>
      <c r="E83" s="7">
        <v>0.4316</v>
      </c>
      <c r="F83" s="8" t="s">
        <v>249</v>
      </c>
      <c r="G83" s="9">
        <v>0.0239</v>
      </c>
    </row>
    <row r="84">
      <c r="A84" s="4" t="s">
        <v>250</v>
      </c>
      <c r="B84" s="5">
        <v>0.043</v>
      </c>
      <c r="C84" s="7">
        <v>-0.0347</v>
      </c>
      <c r="D84" s="4" t="s">
        <v>251</v>
      </c>
      <c r="E84" s="7">
        <v>0.6744</v>
      </c>
      <c r="F84" s="8" t="s">
        <v>252</v>
      </c>
      <c r="G84" s="9">
        <v>0.0539</v>
      </c>
    </row>
    <row r="85">
      <c r="A85" s="4" t="s">
        <v>253</v>
      </c>
      <c r="B85" s="5">
        <v>0.324</v>
      </c>
      <c r="C85" s="6">
        <f>+5.59%</f>
        <v>0.0559</v>
      </c>
      <c r="D85" s="4" t="s">
        <v>254</v>
      </c>
      <c r="E85" s="7">
        <v>0.2797</v>
      </c>
      <c r="F85" s="8" t="s">
        <v>255</v>
      </c>
      <c r="G85" s="9">
        <v>0.0988</v>
      </c>
    </row>
    <row r="86">
      <c r="A86" s="4" t="s">
        <v>256</v>
      </c>
      <c r="B86" s="5">
        <v>0.0059</v>
      </c>
      <c r="C86" s="7">
        <v>-0.0418</v>
      </c>
      <c r="D86" s="4" t="s">
        <v>257</v>
      </c>
      <c r="E86" s="7">
        <v>0.3236</v>
      </c>
      <c r="F86" s="8" t="s">
        <v>258</v>
      </c>
      <c r="G86" s="9">
        <v>0.0467</v>
      </c>
    </row>
    <row r="87">
      <c r="A87" s="4" t="s">
        <v>259</v>
      </c>
      <c r="B87" s="5">
        <v>0.00907</v>
      </c>
      <c r="C87" s="7">
        <v>-0.0329</v>
      </c>
      <c r="D87" s="4" t="s">
        <v>260</v>
      </c>
      <c r="E87" s="7">
        <v>0.8486</v>
      </c>
      <c r="F87" s="8" t="s">
        <v>261</v>
      </c>
      <c r="G87" s="9">
        <v>0.0097</v>
      </c>
    </row>
    <row r="88">
      <c r="A88" s="4" t="s">
        <v>262</v>
      </c>
      <c r="B88" s="5">
        <v>0.00427</v>
      </c>
      <c r="C88" s="7">
        <v>-0.0174</v>
      </c>
      <c r="D88" s="4" t="s">
        <v>263</v>
      </c>
      <c r="E88" s="7">
        <v>0.98</v>
      </c>
      <c r="F88" s="8" t="s">
        <v>264</v>
      </c>
      <c r="G88" s="9">
        <v>0.0102</v>
      </c>
    </row>
    <row r="89">
      <c r="A89" s="4" t="s">
        <v>265</v>
      </c>
      <c r="B89" s="5">
        <v>4.22E-4</v>
      </c>
      <c r="C89" s="7">
        <v>-6.0E-4</v>
      </c>
      <c r="D89" s="4" t="s">
        <v>266</v>
      </c>
      <c r="E89" s="7">
        <v>0.6867</v>
      </c>
      <c r="F89" s="10">
        <v>641.09</v>
      </c>
      <c r="G89" s="9">
        <v>0.0061</v>
      </c>
    </row>
    <row r="90">
      <c r="A90" s="4" t="s">
        <v>267</v>
      </c>
      <c r="B90" s="5">
        <v>1.83</v>
      </c>
      <c r="C90" s="6">
        <f>+0.39%</f>
        <v>0.0039</v>
      </c>
      <c r="D90" s="4" t="s">
        <v>268</v>
      </c>
      <c r="E90" s="7">
        <v>0.6383</v>
      </c>
      <c r="F90" s="8" t="s">
        <v>269</v>
      </c>
      <c r="G90" s="9">
        <v>0.0135</v>
      </c>
    </row>
    <row r="91">
      <c r="A91" s="4" t="s">
        <v>270</v>
      </c>
      <c r="B91" s="5">
        <v>0.008639</v>
      </c>
      <c r="C91" s="7">
        <v>-0.0115</v>
      </c>
      <c r="D91" s="4" t="s">
        <v>271</v>
      </c>
      <c r="E91" s="7">
        <v>0.8208</v>
      </c>
      <c r="F91" s="8" t="s">
        <v>272</v>
      </c>
      <c r="G91" s="9">
        <v>0.004</v>
      </c>
    </row>
    <row r="92">
      <c r="A92" s="4" t="s">
        <v>273</v>
      </c>
      <c r="B92" s="5">
        <v>0.003579</v>
      </c>
      <c r="C92" s="7">
        <v>-0.0134</v>
      </c>
      <c r="D92" s="4" t="s">
        <v>274</v>
      </c>
      <c r="E92" s="7">
        <v>0.4192</v>
      </c>
      <c r="F92" s="8" t="s">
        <v>275</v>
      </c>
      <c r="G92" s="9">
        <v>0.0525</v>
      </c>
    </row>
    <row r="93">
      <c r="A93" s="4" t="s">
        <v>276</v>
      </c>
      <c r="B93" s="5">
        <v>0.167</v>
      </c>
      <c r="C93" s="7">
        <v>-0.008</v>
      </c>
      <c r="D93" s="4" t="s">
        <v>277</v>
      </c>
      <c r="E93" s="7">
        <v>0.4323</v>
      </c>
      <c r="F93" s="8" t="s">
        <v>278</v>
      </c>
      <c r="G93" s="9">
        <v>0.0506</v>
      </c>
    </row>
    <row r="94">
      <c r="A94" s="4" t="s">
        <v>279</v>
      </c>
      <c r="B94" s="5">
        <v>0.004866</v>
      </c>
      <c r="C94" s="7">
        <v>-0.0267</v>
      </c>
      <c r="D94" s="4" t="s">
        <v>280</v>
      </c>
      <c r="E94" s="7">
        <v>0.6999</v>
      </c>
      <c r="F94" s="8" t="s">
        <v>281</v>
      </c>
      <c r="G94" s="9">
        <v>0.0186</v>
      </c>
    </row>
    <row r="95">
      <c r="A95" s="4" t="s">
        <v>282</v>
      </c>
      <c r="B95" s="5">
        <v>0.18</v>
      </c>
      <c r="C95" s="7">
        <v>-0.0325</v>
      </c>
      <c r="D95" s="4" t="s">
        <v>283</v>
      </c>
      <c r="E95" s="7">
        <v>0.5092</v>
      </c>
      <c r="F95" s="8" t="s">
        <v>143</v>
      </c>
      <c r="G95" s="9">
        <v>0.0144</v>
      </c>
    </row>
    <row r="96">
      <c r="A96" s="4" t="s">
        <v>284</v>
      </c>
      <c r="B96" s="5">
        <v>0.034</v>
      </c>
      <c r="C96" s="7">
        <v>-0.0209</v>
      </c>
      <c r="D96" s="4" t="s">
        <v>285</v>
      </c>
      <c r="E96" s="7">
        <v>0.2328</v>
      </c>
      <c r="F96" s="8" t="s">
        <v>286</v>
      </c>
      <c r="G96" s="9">
        <v>0.005</v>
      </c>
    </row>
    <row r="97">
      <c r="A97" s="4" t="s">
        <v>287</v>
      </c>
      <c r="B97" s="5">
        <v>0.074</v>
      </c>
      <c r="C97" s="6">
        <f>+5.71%</f>
        <v>0.0571</v>
      </c>
      <c r="D97" s="4" t="s">
        <v>288</v>
      </c>
      <c r="E97" s="7">
        <v>0.3562</v>
      </c>
      <c r="F97" s="8" t="s">
        <v>289</v>
      </c>
      <c r="G97" s="9">
        <v>0.0175</v>
      </c>
    </row>
    <row r="98">
      <c r="A98" s="4" t="s">
        <v>290</v>
      </c>
      <c r="B98" s="5">
        <v>0.337</v>
      </c>
      <c r="C98" s="7">
        <v>-0.0452</v>
      </c>
      <c r="D98" s="4" t="s">
        <v>291</v>
      </c>
      <c r="E98" s="7">
        <v>0.2929</v>
      </c>
      <c r="F98" s="8" t="s">
        <v>292</v>
      </c>
      <c r="G98" s="9">
        <v>0.0455</v>
      </c>
    </row>
    <row r="99">
      <c r="A99" s="4" t="s">
        <v>293</v>
      </c>
      <c r="B99" s="5">
        <v>0.05</v>
      </c>
      <c r="C99" s="6">
        <f>+1.24%</f>
        <v>0.0124</v>
      </c>
      <c r="D99" s="4" t="s">
        <v>294</v>
      </c>
      <c r="E99" s="7">
        <v>0.3145</v>
      </c>
      <c r="F99" s="8" t="s">
        <v>295</v>
      </c>
      <c r="G99" s="9">
        <v>0.364</v>
      </c>
    </row>
    <row r="100">
      <c r="A100" s="4" t="s">
        <v>296</v>
      </c>
      <c r="B100" s="5">
        <v>0.021</v>
      </c>
      <c r="C100" s="7">
        <v>-0.0709</v>
      </c>
      <c r="D100" s="4" t="s">
        <v>297</v>
      </c>
      <c r="E100" s="7">
        <v>0.4984</v>
      </c>
      <c r="F100" s="8" t="s">
        <v>298</v>
      </c>
      <c r="G100" s="9">
        <v>0.0034</v>
      </c>
    </row>
    <row r="101">
      <c r="A101" s="4" t="s">
        <v>299</v>
      </c>
      <c r="B101" s="5">
        <v>7.45E-4</v>
      </c>
      <c r="C101" s="7">
        <v>-0.0126</v>
      </c>
      <c r="D101" s="4" t="s">
        <v>300</v>
      </c>
      <c r="E101" s="7">
        <v>0.558</v>
      </c>
      <c r="F101" s="8" t="s">
        <v>301</v>
      </c>
      <c r="G101" s="9">
        <v>0.0052</v>
      </c>
    </row>
    <row r="102">
      <c r="A102" s="4" t="s">
        <v>302</v>
      </c>
      <c r="B102" s="5">
        <v>2.72E-4</v>
      </c>
      <c r="C102" s="6">
        <f>+1.49%</f>
        <v>0.0149</v>
      </c>
      <c r="D102" s="4" t="s">
        <v>303</v>
      </c>
      <c r="E102" s="7">
        <v>0.8711</v>
      </c>
      <c r="F102" s="10">
        <v>318.73</v>
      </c>
      <c r="G102" s="9">
        <v>0.0027</v>
      </c>
    </row>
    <row r="103">
      <c r="A103" s="4" t="s">
        <v>304</v>
      </c>
      <c r="B103" s="5">
        <v>0.024</v>
      </c>
      <c r="C103" s="7">
        <v>-0.0608</v>
      </c>
      <c r="D103" s="4" t="s">
        <v>305</v>
      </c>
      <c r="E103" s="7">
        <v>0.8968</v>
      </c>
      <c r="F103" s="8" t="s">
        <v>306</v>
      </c>
      <c r="G103" s="9">
        <v>0.0096</v>
      </c>
    </row>
    <row r="104">
      <c r="A104" s="4" t="s">
        <v>307</v>
      </c>
      <c r="B104" s="5">
        <v>0.126</v>
      </c>
      <c r="C104" s="6">
        <f>+1.13%</f>
        <v>0.0113</v>
      </c>
      <c r="D104" s="4" t="s">
        <v>308</v>
      </c>
      <c r="E104" s="7">
        <v>0.2516</v>
      </c>
      <c r="F104" s="8" t="s">
        <v>309</v>
      </c>
      <c r="G104" s="9">
        <v>0.0419</v>
      </c>
    </row>
    <row r="105">
      <c r="A105" s="4" t="s">
        <v>310</v>
      </c>
      <c r="B105" s="5">
        <v>4.12E-4</v>
      </c>
      <c r="C105" s="7">
        <v>-0.0972</v>
      </c>
      <c r="D105" s="4" t="s">
        <v>311</v>
      </c>
      <c r="E105" s="7">
        <v>0.8263</v>
      </c>
      <c r="F105" s="8" t="s">
        <v>312</v>
      </c>
      <c r="G105" s="9">
        <v>0.005</v>
      </c>
    </row>
    <row r="106">
      <c r="A106" s="4" t="s">
        <v>313</v>
      </c>
      <c r="B106" s="5">
        <v>0.025</v>
      </c>
      <c r="C106" s="7">
        <v>-0.0097</v>
      </c>
      <c r="D106" s="4" t="s">
        <v>314</v>
      </c>
      <c r="E106" s="7">
        <v>0.3689</v>
      </c>
      <c r="F106" s="8" t="s">
        <v>315</v>
      </c>
      <c r="G106" s="9">
        <v>0.0252</v>
      </c>
    </row>
    <row r="107">
      <c r="A107" s="4" t="s">
        <v>316</v>
      </c>
      <c r="B107" s="5">
        <v>0.007175</v>
      </c>
      <c r="C107" s="7">
        <v>-0.0406</v>
      </c>
      <c r="D107" s="4" t="s">
        <v>317</v>
      </c>
      <c r="E107" s="7">
        <v>0.5672</v>
      </c>
      <c r="F107" s="8" t="s">
        <v>318</v>
      </c>
      <c r="G107" s="9">
        <v>0.0423</v>
      </c>
    </row>
    <row r="108">
      <c r="A108" s="4" t="s">
        <v>319</v>
      </c>
      <c r="B108" s="5">
        <v>0.093</v>
      </c>
      <c r="C108" s="7">
        <v>-0.0226</v>
      </c>
      <c r="D108" s="4" t="s">
        <v>320</v>
      </c>
      <c r="E108" s="7">
        <v>0.4497</v>
      </c>
      <c r="F108" s="8" t="s">
        <v>321</v>
      </c>
      <c r="G108" s="9">
        <v>0.1986</v>
      </c>
    </row>
    <row r="109">
      <c r="A109" s="4" t="s">
        <v>322</v>
      </c>
      <c r="B109" s="5">
        <v>0.098</v>
      </c>
      <c r="C109" s="7">
        <v>-0.0332</v>
      </c>
      <c r="D109" s="4" t="s">
        <v>323</v>
      </c>
      <c r="E109" s="7">
        <v>0.2232</v>
      </c>
      <c r="F109" s="8" t="s">
        <v>324</v>
      </c>
      <c r="G109" s="9">
        <v>0.0398</v>
      </c>
    </row>
    <row r="110">
      <c r="A110" s="4" t="s">
        <v>325</v>
      </c>
      <c r="B110" s="5">
        <v>0.101</v>
      </c>
      <c r="C110" s="7">
        <v>-0.1956</v>
      </c>
      <c r="D110" s="4" t="s">
        <v>326</v>
      </c>
      <c r="E110" s="7">
        <v>0.4116</v>
      </c>
      <c r="F110" s="8" t="s">
        <v>327</v>
      </c>
      <c r="G110" s="9">
        <v>0.0076</v>
      </c>
    </row>
    <row r="111">
      <c r="A111" s="4" t="s">
        <v>328</v>
      </c>
      <c r="B111" s="5">
        <v>0.097</v>
      </c>
      <c r="C111" s="6">
        <f>+9.13%</f>
        <v>0.0913</v>
      </c>
      <c r="D111" s="4" t="s">
        <v>329</v>
      </c>
      <c r="E111" s="7">
        <v>0.2247</v>
      </c>
      <c r="F111" s="8" t="s">
        <v>330</v>
      </c>
      <c r="G111" s="9">
        <v>0.0467</v>
      </c>
    </row>
    <row r="112">
      <c r="A112" s="4" t="s">
        <v>331</v>
      </c>
      <c r="B112" s="5">
        <v>0.025</v>
      </c>
      <c r="C112" s="6">
        <f>+15.66%</f>
        <v>0.1566</v>
      </c>
      <c r="D112" s="4" t="s">
        <v>332</v>
      </c>
      <c r="E112" s="7">
        <v>0.3008</v>
      </c>
      <c r="F112" s="8" t="s">
        <v>333</v>
      </c>
      <c r="G112" s="9">
        <v>0.0442</v>
      </c>
    </row>
    <row r="113">
      <c r="A113" s="4" t="s">
        <v>334</v>
      </c>
      <c r="B113" s="5">
        <v>5.17E-4</v>
      </c>
      <c r="C113" s="7">
        <v>-0.0214</v>
      </c>
      <c r="D113" s="4" t="s">
        <v>335</v>
      </c>
      <c r="E113" s="7">
        <v>0.3786</v>
      </c>
      <c r="F113" s="8" t="s">
        <v>336</v>
      </c>
      <c r="G113" s="9">
        <v>0.023</v>
      </c>
    </row>
    <row r="114">
      <c r="A114" s="4" t="s">
        <v>337</v>
      </c>
      <c r="B114" s="5">
        <v>0.043</v>
      </c>
      <c r="C114" s="7">
        <v>-0.0297</v>
      </c>
      <c r="D114" s="4" t="s">
        <v>338</v>
      </c>
      <c r="E114" s="7">
        <v>0.5601</v>
      </c>
      <c r="F114" s="8" t="s">
        <v>339</v>
      </c>
      <c r="G114" s="9">
        <v>0.0013</v>
      </c>
    </row>
    <row r="115">
      <c r="A115" s="4" t="s">
        <v>340</v>
      </c>
      <c r="B115" s="5">
        <v>0.291</v>
      </c>
      <c r="C115" s="7">
        <v>-0.0445</v>
      </c>
      <c r="D115" s="4" t="s">
        <v>341</v>
      </c>
      <c r="E115" s="7">
        <v>0.7216</v>
      </c>
      <c r="F115" s="8" t="s">
        <v>342</v>
      </c>
      <c r="G115" s="9">
        <v>0.0144</v>
      </c>
    </row>
    <row r="116">
      <c r="A116" s="4" t="s">
        <v>343</v>
      </c>
      <c r="B116" s="5">
        <v>0.039</v>
      </c>
      <c r="C116" s="6">
        <f>+0.69%</f>
        <v>0.0069</v>
      </c>
      <c r="D116" s="4" t="s">
        <v>344</v>
      </c>
      <c r="E116" s="7">
        <v>0.907</v>
      </c>
      <c r="F116" s="8" t="s">
        <v>345</v>
      </c>
      <c r="G116" s="9">
        <v>0.0097</v>
      </c>
    </row>
    <row r="117">
      <c r="A117" s="4" t="s">
        <v>346</v>
      </c>
      <c r="B117" s="5">
        <v>0.152</v>
      </c>
      <c r="C117" s="7">
        <v>-0.0546</v>
      </c>
      <c r="D117" s="4" t="s">
        <v>347</v>
      </c>
      <c r="E117" s="7">
        <v>0.8023</v>
      </c>
      <c r="F117" s="8" t="s">
        <v>348</v>
      </c>
      <c r="G117" s="9">
        <v>0.0012</v>
      </c>
    </row>
    <row r="118">
      <c r="A118" s="4" t="s">
        <v>349</v>
      </c>
      <c r="B118" s="5">
        <v>0.0023</v>
      </c>
      <c r="C118" s="4" t="s">
        <v>20</v>
      </c>
      <c r="D118" s="4" t="s">
        <v>350</v>
      </c>
      <c r="E118" s="7">
        <v>0.9889</v>
      </c>
      <c r="F118" s="10">
        <v>638.97</v>
      </c>
      <c r="G118" s="9">
        <v>0.0028</v>
      </c>
    </row>
    <row r="119">
      <c r="A119" s="4" t="s">
        <v>351</v>
      </c>
      <c r="B119" s="5">
        <v>8.79E-4</v>
      </c>
      <c r="C119" s="4" t="s">
        <v>20</v>
      </c>
      <c r="D119" s="4" t="s">
        <v>20</v>
      </c>
      <c r="E119" s="7">
        <v>0.6958</v>
      </c>
      <c r="F119" s="10">
        <v>879.32</v>
      </c>
      <c r="G119" s="9">
        <v>0.0014</v>
      </c>
    </row>
    <row r="120">
      <c r="A120" s="4" t="s">
        <v>352</v>
      </c>
      <c r="B120" s="5">
        <v>0.069</v>
      </c>
      <c r="C120" s="7">
        <v>-0.0391</v>
      </c>
      <c r="D120" s="4" t="s">
        <v>353</v>
      </c>
      <c r="E120" s="7">
        <v>0.7919</v>
      </c>
      <c r="F120" s="8" t="s">
        <v>354</v>
      </c>
      <c r="G120" s="9">
        <v>0.0039</v>
      </c>
    </row>
    <row r="121">
      <c r="A121" s="4" t="s">
        <v>355</v>
      </c>
      <c r="B121" s="5">
        <v>0.009117</v>
      </c>
      <c r="C121" s="7">
        <v>-0.0382</v>
      </c>
      <c r="D121" s="4" t="s">
        <v>356</v>
      </c>
      <c r="E121" s="7">
        <v>0.2922</v>
      </c>
      <c r="F121" s="8" t="s">
        <v>357</v>
      </c>
      <c r="G121" s="9">
        <v>0.0084</v>
      </c>
    </row>
    <row r="122">
      <c r="A122" s="4" t="s">
        <v>358</v>
      </c>
      <c r="B122" s="5">
        <v>0.17</v>
      </c>
      <c r="C122" s="7">
        <v>-0.0128</v>
      </c>
      <c r="D122" s="4" t="s">
        <v>359</v>
      </c>
      <c r="E122" s="7">
        <v>0.5113</v>
      </c>
      <c r="F122" s="8" t="s">
        <v>360</v>
      </c>
      <c r="G122" s="9">
        <v>0.0155</v>
      </c>
    </row>
    <row r="123">
      <c r="A123" s="4" t="s">
        <v>361</v>
      </c>
      <c r="B123" s="5">
        <v>0.07</v>
      </c>
      <c r="C123" s="7">
        <v>-0.0175</v>
      </c>
      <c r="D123" s="4" t="s">
        <v>362</v>
      </c>
      <c r="E123" s="7">
        <v>0.3205</v>
      </c>
      <c r="F123" s="8" t="s">
        <v>363</v>
      </c>
      <c r="G123" s="9">
        <v>0.0205</v>
      </c>
    </row>
    <row r="124">
      <c r="A124" s="4" t="s">
        <v>364</v>
      </c>
      <c r="B124" s="5">
        <v>0.014</v>
      </c>
      <c r="C124" s="7">
        <v>-0.0364</v>
      </c>
      <c r="D124" s="4" t="s">
        <v>365</v>
      </c>
      <c r="E124" s="7">
        <v>0.4142</v>
      </c>
      <c r="F124" s="8" t="s">
        <v>366</v>
      </c>
      <c r="G124" s="9">
        <v>0.16</v>
      </c>
    </row>
    <row r="125">
      <c r="A125" s="4" t="s">
        <v>367</v>
      </c>
      <c r="B125" s="5">
        <v>2.17</v>
      </c>
      <c r="C125" s="4" t="s">
        <v>20</v>
      </c>
      <c r="D125" s="4" t="s">
        <v>368</v>
      </c>
      <c r="E125" s="7">
        <v>0.8831</v>
      </c>
      <c r="F125" s="8" t="s">
        <v>369</v>
      </c>
      <c r="G125" s="9">
        <v>0.0012</v>
      </c>
    </row>
    <row r="126">
      <c r="A126" s="4" t="s">
        <v>370</v>
      </c>
      <c r="B126" s="5">
        <v>0.077</v>
      </c>
      <c r="C126" s="7">
        <v>-0.0584</v>
      </c>
      <c r="D126" s="4" t="s">
        <v>371</v>
      </c>
      <c r="E126" s="7">
        <v>0.595</v>
      </c>
      <c r="F126" s="8" t="s">
        <v>372</v>
      </c>
      <c r="G126" s="9">
        <v>0.0014</v>
      </c>
    </row>
    <row r="127">
      <c r="A127" s="4" t="s">
        <v>373</v>
      </c>
      <c r="B127" s="5">
        <v>0.018</v>
      </c>
      <c r="C127" s="7">
        <v>-0.0353</v>
      </c>
      <c r="D127" s="4" t="s">
        <v>374</v>
      </c>
      <c r="E127" s="7">
        <v>0.45</v>
      </c>
      <c r="F127" s="8" t="s">
        <v>375</v>
      </c>
      <c r="G127" s="9">
        <v>0.037</v>
      </c>
    </row>
    <row r="128">
      <c r="A128" s="4" t="s">
        <v>376</v>
      </c>
      <c r="B128" s="5">
        <v>0.002783</v>
      </c>
      <c r="C128" s="7">
        <v>-0.0398</v>
      </c>
      <c r="D128" s="4" t="s">
        <v>377</v>
      </c>
      <c r="E128" s="7">
        <v>0.6965</v>
      </c>
      <c r="F128" s="8" t="s">
        <v>378</v>
      </c>
      <c r="G128" s="9">
        <v>0.0608</v>
      </c>
    </row>
    <row r="129">
      <c r="A129" s="4" t="s">
        <v>379</v>
      </c>
      <c r="B129" s="5">
        <v>0.022</v>
      </c>
      <c r="C129" s="6">
        <f>+0.72%</f>
        <v>0.0072</v>
      </c>
      <c r="D129" s="4" t="s">
        <v>380</v>
      </c>
      <c r="E129" s="7">
        <v>0.6792</v>
      </c>
      <c r="F129" s="8" t="s">
        <v>381</v>
      </c>
      <c r="G129" s="9">
        <v>0.0337</v>
      </c>
    </row>
    <row r="130">
      <c r="A130" s="4" t="s">
        <v>382</v>
      </c>
      <c r="B130" s="5">
        <v>0.026</v>
      </c>
      <c r="C130" s="7">
        <v>-0.0215</v>
      </c>
      <c r="D130" s="4" t="s">
        <v>383</v>
      </c>
      <c r="E130" s="7">
        <v>0.1647</v>
      </c>
      <c r="F130" s="8" t="s">
        <v>384</v>
      </c>
      <c r="G130" s="9">
        <v>0.0506</v>
      </c>
    </row>
    <row r="131">
      <c r="A131" s="4" t="s">
        <v>385</v>
      </c>
      <c r="B131" s="5">
        <v>0.016</v>
      </c>
      <c r="C131" s="7">
        <v>-0.0528</v>
      </c>
      <c r="D131" s="4" t="s">
        <v>386</v>
      </c>
      <c r="E131" s="7">
        <v>0.3417</v>
      </c>
      <c r="F131" s="8" t="s">
        <v>387</v>
      </c>
      <c r="G131" s="9">
        <v>0.0244</v>
      </c>
    </row>
    <row r="132">
      <c r="A132" s="4" t="s">
        <v>388</v>
      </c>
      <c r="B132" s="5">
        <v>0.42</v>
      </c>
      <c r="C132" s="7">
        <v>-0.069</v>
      </c>
      <c r="D132" s="4" t="s">
        <v>389</v>
      </c>
      <c r="E132" s="7">
        <v>0.4837</v>
      </c>
      <c r="F132" s="8" t="s">
        <v>390</v>
      </c>
      <c r="G132" s="9">
        <v>0.0082</v>
      </c>
    </row>
    <row r="133">
      <c r="A133" s="4" t="s">
        <v>391</v>
      </c>
      <c r="B133" s="5">
        <v>0.059</v>
      </c>
      <c r="C133" s="7">
        <v>-0.0478</v>
      </c>
      <c r="D133" s="4" t="s">
        <v>392</v>
      </c>
      <c r="E133" s="7">
        <v>0.3272</v>
      </c>
      <c r="F133" s="8" t="s">
        <v>393</v>
      </c>
      <c r="G133" s="9">
        <v>0.0487</v>
      </c>
    </row>
    <row r="134">
      <c r="A134" s="4" t="s">
        <v>394</v>
      </c>
      <c r="B134" s="5">
        <v>0.268</v>
      </c>
      <c r="C134" s="7">
        <v>-0.0134</v>
      </c>
      <c r="D134" s="4" t="s">
        <v>395</v>
      </c>
      <c r="E134" s="7">
        <v>0.9895</v>
      </c>
      <c r="F134" s="8" t="s">
        <v>396</v>
      </c>
      <c r="G134" s="9">
        <v>0.0106</v>
      </c>
    </row>
    <row r="135">
      <c r="A135" s="4" t="s">
        <v>397</v>
      </c>
      <c r="B135" s="5">
        <v>0.061</v>
      </c>
      <c r="C135" s="7">
        <v>-0.0176</v>
      </c>
      <c r="D135" s="4" t="s">
        <v>398</v>
      </c>
      <c r="E135" s="7">
        <v>0.5913</v>
      </c>
      <c r="F135" s="8" t="s">
        <v>399</v>
      </c>
      <c r="G135" s="9">
        <v>0.0031</v>
      </c>
    </row>
    <row r="136">
      <c r="A136" s="4" t="s">
        <v>400</v>
      </c>
      <c r="B136" s="5">
        <v>0.093</v>
      </c>
      <c r="C136" s="7">
        <v>-0.0332</v>
      </c>
      <c r="D136" s="4" t="s">
        <v>401</v>
      </c>
      <c r="E136" s="7">
        <v>0.7512</v>
      </c>
      <c r="F136" s="8" t="s">
        <v>402</v>
      </c>
      <c r="G136" s="9">
        <v>0.0055</v>
      </c>
    </row>
    <row r="137">
      <c r="A137" s="4" t="s">
        <v>403</v>
      </c>
      <c r="B137" s="5">
        <v>0.009132</v>
      </c>
      <c r="C137" s="7">
        <v>-0.0388</v>
      </c>
      <c r="D137" s="4" t="s">
        <v>404</v>
      </c>
      <c r="E137" s="7">
        <v>0.3958</v>
      </c>
      <c r="F137" s="8" t="s">
        <v>405</v>
      </c>
      <c r="G137" s="9">
        <v>0.0421</v>
      </c>
    </row>
    <row r="138">
      <c r="A138" s="4" t="s">
        <v>406</v>
      </c>
      <c r="B138" s="5">
        <v>0.014</v>
      </c>
      <c r="C138" s="7">
        <v>-0.0421</v>
      </c>
      <c r="D138" s="4" t="s">
        <v>407</v>
      </c>
      <c r="E138" s="7">
        <v>0.4333</v>
      </c>
      <c r="F138" s="8" t="s">
        <v>408</v>
      </c>
      <c r="G138" s="9">
        <v>0.0414</v>
      </c>
    </row>
    <row r="139">
      <c r="A139" s="4" t="s">
        <v>409</v>
      </c>
      <c r="B139" s="5">
        <v>0.003868</v>
      </c>
      <c r="C139" s="7">
        <v>-9.0E-4</v>
      </c>
      <c r="D139" s="4" t="s">
        <v>410</v>
      </c>
      <c r="E139" s="7">
        <v>0.7624</v>
      </c>
      <c r="F139" s="8" t="s">
        <v>411</v>
      </c>
      <c r="G139" s="9">
        <v>0.0057</v>
      </c>
    </row>
    <row r="140">
      <c r="A140" s="4" t="s">
        <v>412</v>
      </c>
      <c r="B140" s="5">
        <v>9.0E-5</v>
      </c>
      <c r="C140" s="7">
        <v>-0.0659</v>
      </c>
      <c r="D140" s="4" t="s">
        <v>413</v>
      </c>
      <c r="E140" s="7">
        <v>0.7708</v>
      </c>
      <c r="F140" s="8" t="s">
        <v>414</v>
      </c>
      <c r="G140" s="9">
        <v>0.0068</v>
      </c>
    </row>
    <row r="141">
      <c r="A141" s="4" t="s">
        <v>415</v>
      </c>
      <c r="B141" s="5">
        <v>0.006507</v>
      </c>
      <c r="C141" s="7">
        <v>-0.0249</v>
      </c>
      <c r="D141" s="4" t="s">
        <v>416</v>
      </c>
      <c r="E141" s="7">
        <v>0.8729</v>
      </c>
      <c r="F141" s="8" t="s">
        <v>417</v>
      </c>
      <c r="G141" s="9">
        <v>0.0108</v>
      </c>
    </row>
    <row r="142">
      <c r="A142" s="4" t="s">
        <v>418</v>
      </c>
      <c r="B142" s="5">
        <v>0.019</v>
      </c>
      <c r="C142" s="7">
        <v>-0.0393</v>
      </c>
      <c r="D142" s="4" t="s">
        <v>419</v>
      </c>
      <c r="E142" s="7">
        <v>0.5256</v>
      </c>
      <c r="F142" s="8" t="s">
        <v>420</v>
      </c>
      <c r="G142" s="9">
        <v>0.0315</v>
      </c>
    </row>
    <row r="143">
      <c r="A143" s="4" t="s">
        <v>421</v>
      </c>
      <c r="B143" s="5">
        <v>0.897</v>
      </c>
      <c r="C143" s="7">
        <v>-0.032</v>
      </c>
      <c r="D143" s="4" t="s">
        <v>422</v>
      </c>
      <c r="E143" s="7">
        <v>0.3895</v>
      </c>
      <c r="F143" s="8" t="s">
        <v>423</v>
      </c>
      <c r="G143" s="9">
        <v>0.011</v>
      </c>
    </row>
    <row r="144">
      <c r="A144" s="4" t="s">
        <v>424</v>
      </c>
      <c r="B144" s="5">
        <v>0.054</v>
      </c>
      <c r="C144" s="7">
        <v>-9.0E-4</v>
      </c>
      <c r="D144" s="4" t="s">
        <v>425</v>
      </c>
      <c r="E144" s="7">
        <v>0.6237</v>
      </c>
      <c r="F144" s="8" t="s">
        <v>426</v>
      </c>
      <c r="G144" s="9">
        <v>0.0337</v>
      </c>
    </row>
    <row r="145">
      <c r="A145" s="4" t="s">
        <v>427</v>
      </c>
      <c r="B145" s="5">
        <v>0.177</v>
      </c>
      <c r="C145" s="7">
        <v>-0.0551</v>
      </c>
      <c r="D145" s="4" t="s">
        <v>428</v>
      </c>
      <c r="E145" s="7">
        <v>0.2918</v>
      </c>
      <c r="F145" s="8" t="s">
        <v>429</v>
      </c>
      <c r="G145" s="9">
        <v>0.0754</v>
      </c>
    </row>
    <row r="146">
      <c r="F146" s="12"/>
      <c r="G146" s="12"/>
    </row>
    <row r="147">
      <c r="F147" s="12"/>
      <c r="G147" s="12"/>
    </row>
    <row r="148">
      <c r="F148" s="12"/>
      <c r="G148" s="12"/>
    </row>
    <row r="149">
      <c r="F149" s="12"/>
      <c r="G149" s="12"/>
    </row>
    <row r="150">
      <c r="F150" s="12"/>
      <c r="G150" s="12"/>
    </row>
    <row r="151">
      <c r="F151" s="12"/>
      <c r="G151" s="12"/>
    </row>
    <row r="152">
      <c r="F152" s="12"/>
      <c r="G152" s="12"/>
    </row>
    <row r="153">
      <c r="F153" s="12"/>
      <c r="G153" s="12"/>
    </row>
    <row r="154">
      <c r="F154" s="12"/>
      <c r="G154" s="12"/>
    </row>
    <row r="155">
      <c r="F155" s="12"/>
      <c r="G155" s="12"/>
    </row>
    <row r="156">
      <c r="F156" s="12"/>
      <c r="G156" s="12"/>
    </row>
    <row r="157">
      <c r="F157" s="12"/>
      <c r="G157" s="12"/>
    </row>
    <row r="158">
      <c r="F158" s="12"/>
      <c r="G158" s="12"/>
    </row>
    <row r="159">
      <c r="F159" s="12"/>
      <c r="G159" s="12"/>
    </row>
    <row r="160">
      <c r="F160" s="12"/>
      <c r="G160" s="12"/>
    </row>
    <row r="161">
      <c r="F161" s="12"/>
      <c r="G161" s="12"/>
    </row>
    <row r="162">
      <c r="F162" s="12"/>
      <c r="G162" s="12"/>
    </row>
    <row r="163">
      <c r="F163" s="12"/>
      <c r="G163" s="12"/>
    </row>
    <row r="164">
      <c r="F164" s="12"/>
      <c r="G164" s="12"/>
    </row>
    <row r="165">
      <c r="F165" s="12"/>
      <c r="G165" s="12"/>
    </row>
    <row r="166">
      <c r="F166" s="12"/>
      <c r="G166" s="12"/>
    </row>
    <row r="167">
      <c r="F167" s="12"/>
      <c r="G167" s="12"/>
    </row>
    <row r="168">
      <c r="F168" s="12"/>
      <c r="G168" s="12"/>
    </row>
    <row r="169">
      <c r="F169" s="12"/>
      <c r="G169" s="12"/>
    </row>
    <row r="170">
      <c r="F170" s="12"/>
      <c r="G170" s="12"/>
    </row>
    <row r="171">
      <c r="F171" s="12"/>
      <c r="G171" s="12"/>
    </row>
    <row r="172">
      <c r="F172" s="12"/>
      <c r="G172" s="12"/>
    </row>
    <row r="173">
      <c r="F173" s="12"/>
      <c r="G173" s="12"/>
    </row>
    <row r="174">
      <c r="F174" s="12"/>
      <c r="G174" s="12"/>
    </row>
    <row r="175">
      <c r="F175" s="12"/>
      <c r="G175" s="12"/>
    </row>
    <row r="176">
      <c r="F176" s="12"/>
      <c r="G176" s="12"/>
    </row>
    <row r="177">
      <c r="F177" s="12"/>
      <c r="G177" s="12"/>
    </row>
    <row r="178">
      <c r="F178" s="12"/>
      <c r="G178" s="12"/>
    </row>
    <row r="179">
      <c r="F179" s="12"/>
      <c r="G179" s="12"/>
    </row>
    <row r="180">
      <c r="F180" s="12"/>
      <c r="G180" s="12"/>
    </row>
    <row r="181">
      <c r="F181" s="12"/>
      <c r="G181" s="12"/>
    </row>
    <row r="182">
      <c r="F182" s="12"/>
      <c r="G182" s="12"/>
    </row>
    <row r="183">
      <c r="F183" s="12"/>
      <c r="G183" s="12"/>
    </row>
    <row r="184">
      <c r="F184" s="12"/>
      <c r="G184" s="12"/>
    </row>
    <row r="185">
      <c r="F185" s="12"/>
      <c r="G185" s="12"/>
    </row>
    <row r="186">
      <c r="F186" s="12"/>
      <c r="G186" s="12"/>
    </row>
    <row r="187">
      <c r="F187" s="12"/>
      <c r="G187" s="12"/>
    </row>
    <row r="188">
      <c r="F188" s="12"/>
      <c r="G188" s="12"/>
    </row>
    <row r="189">
      <c r="F189" s="12"/>
      <c r="G189" s="12"/>
    </row>
    <row r="190">
      <c r="F190" s="12"/>
      <c r="G190" s="12"/>
    </row>
    <row r="191">
      <c r="F191" s="12"/>
      <c r="G191" s="12"/>
    </row>
    <row r="192">
      <c r="F192" s="12"/>
      <c r="G192" s="12"/>
    </row>
    <row r="193">
      <c r="F193" s="12"/>
      <c r="G193" s="12"/>
    </row>
    <row r="194">
      <c r="F194" s="12"/>
      <c r="G194" s="12"/>
    </row>
    <row r="195">
      <c r="F195" s="12"/>
      <c r="G195" s="12"/>
    </row>
    <row r="196">
      <c r="F196" s="12"/>
      <c r="G196" s="12"/>
    </row>
    <row r="197">
      <c r="F197" s="12"/>
      <c r="G197" s="12"/>
    </row>
    <row r="198">
      <c r="F198" s="12"/>
      <c r="G198" s="12"/>
    </row>
    <row r="199">
      <c r="F199" s="12"/>
      <c r="G199" s="12"/>
    </row>
    <row r="200">
      <c r="F200" s="12"/>
      <c r="G200" s="12"/>
    </row>
    <row r="201">
      <c r="F201" s="12"/>
      <c r="G201" s="12"/>
    </row>
    <row r="202">
      <c r="F202" s="12"/>
      <c r="G202" s="12"/>
    </row>
    <row r="203">
      <c r="F203" s="12"/>
      <c r="G203" s="12"/>
    </row>
    <row r="204">
      <c r="F204" s="12"/>
      <c r="G204" s="12"/>
    </row>
    <row r="205">
      <c r="F205" s="12"/>
      <c r="G205" s="12"/>
    </row>
    <row r="206">
      <c r="F206" s="12"/>
      <c r="G206" s="12"/>
    </row>
    <row r="207">
      <c r="F207" s="12"/>
      <c r="G207" s="12"/>
    </row>
    <row r="208">
      <c r="F208" s="12"/>
      <c r="G208" s="12"/>
    </row>
    <row r="209">
      <c r="F209" s="12"/>
      <c r="G209" s="12"/>
    </row>
    <row r="210">
      <c r="F210" s="12"/>
      <c r="G210" s="12"/>
    </row>
    <row r="211">
      <c r="F211" s="12"/>
      <c r="G211" s="12"/>
    </row>
    <row r="212">
      <c r="F212" s="12"/>
      <c r="G212" s="12"/>
    </row>
    <row r="213">
      <c r="F213" s="12"/>
      <c r="G213" s="12"/>
    </row>
    <row r="214">
      <c r="F214" s="12"/>
      <c r="G214" s="12"/>
    </row>
    <row r="215">
      <c r="F215" s="12"/>
      <c r="G215" s="12"/>
    </row>
    <row r="216">
      <c r="F216" s="12"/>
      <c r="G216" s="12"/>
    </row>
    <row r="217">
      <c r="F217" s="12"/>
      <c r="G217" s="12"/>
    </row>
    <row r="218">
      <c r="F218" s="12"/>
      <c r="G218" s="12"/>
    </row>
    <row r="219">
      <c r="F219" s="12"/>
      <c r="G219" s="12"/>
    </row>
    <row r="220">
      <c r="F220" s="12"/>
      <c r="G220" s="12"/>
    </row>
    <row r="221">
      <c r="F221" s="12"/>
      <c r="G221" s="12"/>
    </row>
    <row r="222">
      <c r="F222" s="12"/>
      <c r="G222" s="12"/>
    </row>
    <row r="223">
      <c r="F223" s="12"/>
      <c r="G223" s="12"/>
    </row>
    <row r="224">
      <c r="F224" s="12"/>
      <c r="G224" s="12"/>
    </row>
    <row r="225">
      <c r="F225" s="12"/>
      <c r="G225" s="12"/>
    </row>
    <row r="226">
      <c r="F226" s="12"/>
      <c r="G226" s="12"/>
    </row>
    <row r="227">
      <c r="F227" s="12"/>
      <c r="G227" s="12"/>
    </row>
    <row r="228">
      <c r="F228" s="12"/>
      <c r="G228" s="12"/>
    </row>
    <row r="229">
      <c r="F229" s="12"/>
      <c r="G229" s="12"/>
    </row>
    <row r="230">
      <c r="F230" s="12"/>
      <c r="G230" s="12"/>
    </row>
    <row r="231">
      <c r="F231" s="12"/>
      <c r="G231" s="12"/>
    </row>
    <row r="232">
      <c r="F232" s="12"/>
      <c r="G232" s="12"/>
    </row>
    <row r="233">
      <c r="F233" s="12"/>
      <c r="G233" s="12"/>
    </row>
    <row r="234">
      <c r="F234" s="12"/>
      <c r="G234" s="12"/>
    </row>
    <row r="235">
      <c r="F235" s="12"/>
      <c r="G235" s="12"/>
    </row>
    <row r="236">
      <c r="F236" s="12"/>
      <c r="G236" s="12"/>
    </row>
    <row r="237">
      <c r="F237" s="12"/>
      <c r="G237" s="12"/>
    </row>
    <row r="238">
      <c r="F238" s="12"/>
      <c r="G238" s="12"/>
    </row>
    <row r="239">
      <c r="F239" s="12"/>
      <c r="G239" s="12"/>
    </row>
    <row r="240">
      <c r="F240" s="12"/>
      <c r="G240" s="12"/>
    </row>
    <row r="241">
      <c r="F241" s="12"/>
      <c r="G241" s="12"/>
    </row>
    <row r="242">
      <c r="F242" s="12"/>
      <c r="G242" s="12"/>
    </row>
    <row r="243">
      <c r="F243" s="12"/>
      <c r="G243" s="12"/>
    </row>
    <row r="244">
      <c r="F244" s="12"/>
      <c r="G244" s="12"/>
    </row>
    <row r="245">
      <c r="F245" s="12"/>
      <c r="G245" s="12"/>
    </row>
    <row r="246">
      <c r="F246" s="12"/>
      <c r="G246" s="12"/>
    </row>
    <row r="247">
      <c r="F247" s="12"/>
      <c r="G247" s="12"/>
    </row>
    <row r="248">
      <c r="F248" s="12"/>
      <c r="G248" s="12"/>
    </row>
    <row r="249">
      <c r="F249" s="12"/>
      <c r="G249" s="12"/>
    </row>
    <row r="250">
      <c r="F250" s="12"/>
      <c r="G250" s="12"/>
    </row>
    <row r="251">
      <c r="F251" s="12"/>
      <c r="G251" s="12"/>
    </row>
    <row r="252">
      <c r="F252" s="12"/>
      <c r="G252" s="12"/>
    </row>
    <row r="253">
      <c r="F253" s="12"/>
      <c r="G253" s="12"/>
    </row>
    <row r="254">
      <c r="F254" s="12"/>
      <c r="G254" s="12"/>
    </row>
    <row r="255">
      <c r="F255" s="12"/>
      <c r="G255" s="12"/>
    </row>
    <row r="256">
      <c r="F256" s="12"/>
      <c r="G256" s="12"/>
    </row>
    <row r="257">
      <c r="F257" s="12"/>
      <c r="G257" s="12"/>
    </row>
    <row r="258">
      <c r="F258" s="12"/>
      <c r="G258" s="12"/>
    </row>
    <row r="259">
      <c r="F259" s="12"/>
      <c r="G259" s="12"/>
    </row>
    <row r="260">
      <c r="F260" s="12"/>
      <c r="G260" s="12"/>
    </row>
    <row r="261">
      <c r="F261" s="12"/>
      <c r="G261" s="12"/>
    </row>
    <row r="262">
      <c r="F262" s="12"/>
      <c r="G262" s="12"/>
    </row>
    <row r="263">
      <c r="F263" s="12"/>
      <c r="G263" s="12"/>
    </row>
    <row r="264">
      <c r="F264" s="12"/>
      <c r="G264" s="12"/>
    </row>
    <row r="265">
      <c r="F265" s="12"/>
      <c r="G265" s="12"/>
    </row>
    <row r="266">
      <c r="F266" s="12"/>
      <c r="G266" s="12"/>
    </row>
    <row r="267">
      <c r="F267" s="12"/>
      <c r="G267" s="12"/>
    </row>
    <row r="268">
      <c r="F268" s="12"/>
      <c r="G268" s="12"/>
    </row>
    <row r="269">
      <c r="F269" s="12"/>
      <c r="G269" s="12"/>
    </row>
    <row r="270">
      <c r="F270" s="12"/>
      <c r="G270" s="12"/>
    </row>
    <row r="271">
      <c r="F271" s="12"/>
      <c r="G271" s="12"/>
    </row>
    <row r="272">
      <c r="F272" s="12"/>
      <c r="G272" s="12"/>
    </row>
    <row r="273">
      <c r="F273" s="12"/>
      <c r="G273" s="12"/>
    </row>
    <row r="274">
      <c r="F274" s="12"/>
      <c r="G274" s="12"/>
    </row>
    <row r="275">
      <c r="F275" s="12"/>
      <c r="G275" s="12"/>
    </row>
    <row r="276">
      <c r="F276" s="12"/>
      <c r="G276" s="12"/>
    </row>
    <row r="277">
      <c r="F277" s="12"/>
      <c r="G277" s="12"/>
    </row>
    <row r="278">
      <c r="F278" s="12"/>
      <c r="G278" s="12"/>
    </row>
    <row r="279">
      <c r="F279" s="12"/>
      <c r="G279" s="12"/>
    </row>
    <row r="280">
      <c r="F280" s="12"/>
      <c r="G280" s="12"/>
    </row>
    <row r="281">
      <c r="F281" s="12"/>
      <c r="G281" s="12"/>
    </row>
    <row r="282">
      <c r="F282" s="12"/>
      <c r="G282" s="12"/>
    </row>
    <row r="283">
      <c r="F283" s="12"/>
      <c r="G283" s="12"/>
    </row>
    <row r="284">
      <c r="F284" s="12"/>
      <c r="G284" s="12"/>
    </row>
    <row r="285">
      <c r="F285" s="12"/>
      <c r="G285" s="12"/>
    </row>
    <row r="286">
      <c r="F286" s="12"/>
      <c r="G286" s="12"/>
    </row>
    <row r="287">
      <c r="F287" s="12"/>
      <c r="G287" s="12"/>
    </row>
    <row r="288">
      <c r="F288" s="12"/>
      <c r="G288" s="12"/>
    </row>
    <row r="289">
      <c r="F289" s="12"/>
      <c r="G289" s="12"/>
    </row>
    <row r="290">
      <c r="F290" s="12"/>
      <c r="G290" s="12"/>
    </row>
    <row r="291">
      <c r="F291" s="12"/>
      <c r="G291" s="12"/>
    </row>
    <row r="292">
      <c r="F292" s="12"/>
      <c r="G292" s="12"/>
    </row>
    <row r="293">
      <c r="F293" s="12"/>
      <c r="G293" s="12"/>
    </row>
    <row r="294">
      <c r="F294" s="12"/>
      <c r="G294" s="12"/>
    </row>
    <row r="295">
      <c r="F295" s="12"/>
      <c r="G295" s="12"/>
    </row>
    <row r="296">
      <c r="F296" s="12"/>
      <c r="G296" s="12"/>
    </row>
    <row r="297">
      <c r="F297" s="12"/>
      <c r="G297" s="12"/>
    </row>
    <row r="298">
      <c r="F298" s="12"/>
      <c r="G298" s="12"/>
    </row>
    <row r="299">
      <c r="F299" s="12"/>
      <c r="G299" s="12"/>
    </row>
    <row r="300">
      <c r="F300" s="12"/>
      <c r="G300" s="12"/>
    </row>
    <row r="301">
      <c r="F301" s="12"/>
      <c r="G301" s="12"/>
    </row>
    <row r="302">
      <c r="F302" s="12"/>
      <c r="G302" s="12"/>
    </row>
    <row r="303">
      <c r="F303" s="12"/>
      <c r="G303" s="12"/>
    </row>
    <row r="304">
      <c r="F304" s="12"/>
      <c r="G304" s="12"/>
    </row>
    <row r="305">
      <c r="F305" s="12"/>
      <c r="G305" s="12"/>
    </row>
    <row r="306">
      <c r="F306" s="12"/>
      <c r="G306" s="12"/>
    </row>
    <row r="307">
      <c r="F307" s="12"/>
      <c r="G307" s="12"/>
    </row>
    <row r="308">
      <c r="F308" s="12"/>
      <c r="G308" s="12"/>
    </row>
    <row r="309">
      <c r="F309" s="12"/>
      <c r="G309" s="12"/>
    </row>
    <row r="310">
      <c r="F310" s="12"/>
      <c r="G310" s="12"/>
    </row>
    <row r="311">
      <c r="F311" s="12"/>
      <c r="G311" s="12"/>
    </row>
    <row r="312">
      <c r="F312" s="12"/>
      <c r="G312" s="12"/>
    </row>
    <row r="313">
      <c r="F313" s="12"/>
      <c r="G313" s="12"/>
    </row>
    <row r="314">
      <c r="F314" s="12"/>
      <c r="G314" s="12"/>
    </row>
    <row r="315">
      <c r="F315" s="12"/>
      <c r="G315" s="12"/>
    </row>
    <row r="316">
      <c r="F316" s="12"/>
      <c r="G316" s="12"/>
    </row>
    <row r="317">
      <c r="F317" s="12"/>
      <c r="G317" s="12"/>
    </row>
    <row r="318">
      <c r="F318" s="12"/>
      <c r="G318" s="12"/>
    </row>
    <row r="319">
      <c r="F319" s="12"/>
      <c r="G319" s="12"/>
    </row>
    <row r="320">
      <c r="F320" s="12"/>
      <c r="G320" s="12"/>
    </row>
    <row r="321">
      <c r="F321" s="12"/>
      <c r="G321" s="12"/>
    </row>
    <row r="322">
      <c r="F322" s="12"/>
      <c r="G322" s="12"/>
    </row>
    <row r="323">
      <c r="F323" s="12"/>
      <c r="G323" s="12"/>
    </row>
    <row r="324">
      <c r="F324" s="12"/>
      <c r="G324" s="12"/>
    </row>
    <row r="325">
      <c r="F325" s="12"/>
      <c r="G325" s="12"/>
    </row>
    <row r="326">
      <c r="F326" s="12"/>
      <c r="G326" s="12"/>
    </row>
    <row r="327">
      <c r="F327" s="12"/>
      <c r="G327" s="12"/>
    </row>
    <row r="328">
      <c r="F328" s="12"/>
      <c r="G328" s="12"/>
    </row>
    <row r="329">
      <c r="F329" s="12"/>
      <c r="G329" s="12"/>
    </row>
    <row r="330">
      <c r="F330" s="12"/>
      <c r="G330" s="12"/>
    </row>
    <row r="331">
      <c r="F331" s="12"/>
      <c r="G331" s="12"/>
    </row>
    <row r="332">
      <c r="F332" s="12"/>
      <c r="G332" s="12"/>
    </row>
    <row r="333">
      <c r="F333" s="12"/>
      <c r="G333" s="12"/>
    </row>
    <row r="334">
      <c r="F334" s="12"/>
      <c r="G334" s="12"/>
    </row>
    <row r="335">
      <c r="F335" s="12"/>
      <c r="G335" s="12"/>
    </row>
    <row r="336">
      <c r="F336" s="12"/>
      <c r="G336" s="12"/>
    </row>
    <row r="337">
      <c r="F337" s="12"/>
      <c r="G337" s="12"/>
    </row>
    <row r="338">
      <c r="F338" s="12"/>
      <c r="G338" s="12"/>
    </row>
    <row r="339">
      <c r="F339" s="12"/>
      <c r="G339" s="12"/>
    </row>
    <row r="340">
      <c r="F340" s="12"/>
      <c r="G340" s="12"/>
    </row>
    <row r="341">
      <c r="F341" s="12"/>
      <c r="G341" s="12"/>
    </row>
    <row r="342">
      <c r="F342" s="12"/>
      <c r="G342" s="12"/>
    </row>
    <row r="343">
      <c r="F343" s="12"/>
      <c r="G343" s="12"/>
    </row>
    <row r="344">
      <c r="F344" s="12"/>
      <c r="G344" s="12"/>
    </row>
    <row r="345">
      <c r="F345" s="12"/>
      <c r="G345" s="12"/>
    </row>
    <row r="346">
      <c r="F346" s="12"/>
      <c r="G346" s="12"/>
    </row>
    <row r="347">
      <c r="F347" s="12"/>
      <c r="G347" s="12"/>
    </row>
    <row r="348">
      <c r="F348" s="12"/>
      <c r="G348" s="12"/>
    </row>
    <row r="349">
      <c r="F349" s="12"/>
      <c r="G349" s="12"/>
    </row>
    <row r="350">
      <c r="F350" s="12"/>
      <c r="G350" s="12"/>
    </row>
    <row r="351">
      <c r="F351" s="12"/>
      <c r="G351" s="12"/>
    </row>
    <row r="352">
      <c r="F352" s="12"/>
      <c r="G352" s="12"/>
    </row>
    <row r="353">
      <c r="F353" s="12"/>
      <c r="G353" s="12"/>
    </row>
    <row r="354">
      <c r="F354" s="12"/>
      <c r="G354" s="12"/>
    </row>
    <row r="355">
      <c r="F355" s="12"/>
      <c r="G355" s="12"/>
    </row>
    <row r="356">
      <c r="F356" s="12"/>
      <c r="G356" s="12"/>
    </row>
    <row r="357">
      <c r="F357" s="12"/>
      <c r="G357" s="12"/>
    </row>
    <row r="358">
      <c r="F358" s="12"/>
      <c r="G358" s="12"/>
    </row>
    <row r="359">
      <c r="F359" s="12"/>
      <c r="G359" s="12"/>
    </row>
    <row r="360">
      <c r="F360" s="12"/>
      <c r="G360" s="12"/>
    </row>
    <row r="361">
      <c r="F361" s="12"/>
      <c r="G361" s="12"/>
    </row>
    <row r="362">
      <c r="F362" s="12"/>
      <c r="G362" s="12"/>
    </row>
    <row r="363">
      <c r="F363" s="12"/>
      <c r="G363" s="12"/>
    </row>
    <row r="364">
      <c r="F364" s="12"/>
      <c r="G364" s="12"/>
    </row>
    <row r="365">
      <c r="F365" s="12"/>
      <c r="G365" s="12"/>
    </row>
    <row r="366">
      <c r="F366" s="12"/>
      <c r="G366" s="12"/>
    </row>
    <row r="367">
      <c r="F367" s="12"/>
      <c r="G367" s="12"/>
    </row>
    <row r="368">
      <c r="F368" s="12"/>
      <c r="G368" s="12"/>
    </row>
    <row r="369">
      <c r="F369" s="12"/>
      <c r="G369" s="12"/>
    </row>
    <row r="370">
      <c r="F370" s="12"/>
      <c r="G370" s="12"/>
    </row>
    <row r="371">
      <c r="F371" s="12"/>
      <c r="G371" s="12"/>
    </row>
    <row r="372">
      <c r="F372" s="12"/>
      <c r="G372" s="12"/>
    </row>
    <row r="373">
      <c r="F373" s="12"/>
      <c r="G373" s="12"/>
    </row>
    <row r="374">
      <c r="F374" s="12"/>
      <c r="G374" s="12"/>
    </row>
    <row r="375">
      <c r="F375" s="12"/>
      <c r="G375" s="12"/>
    </row>
    <row r="376">
      <c r="F376" s="12"/>
      <c r="G376" s="12"/>
    </row>
    <row r="377">
      <c r="F377" s="12"/>
      <c r="G377" s="12"/>
    </row>
    <row r="378">
      <c r="F378" s="12"/>
      <c r="G378" s="12"/>
    </row>
    <row r="379">
      <c r="F379" s="12"/>
      <c r="G379" s="12"/>
    </row>
    <row r="380">
      <c r="F380" s="12"/>
      <c r="G380" s="12"/>
    </row>
    <row r="381">
      <c r="F381" s="12"/>
      <c r="G381" s="12"/>
    </row>
    <row r="382">
      <c r="F382" s="12"/>
      <c r="G382" s="12"/>
    </row>
    <row r="383">
      <c r="F383" s="12"/>
      <c r="G383" s="12"/>
    </row>
    <row r="384">
      <c r="F384" s="12"/>
      <c r="G384" s="12"/>
    </row>
    <row r="385">
      <c r="F385" s="12"/>
      <c r="G385" s="12"/>
    </row>
    <row r="386">
      <c r="F386" s="12"/>
      <c r="G386" s="12"/>
    </row>
    <row r="387">
      <c r="F387" s="12"/>
      <c r="G387" s="12"/>
    </row>
    <row r="388">
      <c r="F388" s="12"/>
      <c r="G388" s="12"/>
    </row>
    <row r="389">
      <c r="F389" s="12"/>
      <c r="G389" s="12"/>
    </row>
    <row r="390">
      <c r="F390" s="12"/>
      <c r="G390" s="12"/>
    </row>
    <row r="391">
      <c r="F391" s="12"/>
      <c r="G391" s="12"/>
    </row>
    <row r="392">
      <c r="F392" s="12"/>
      <c r="G392" s="12"/>
    </row>
    <row r="393">
      <c r="F393" s="12"/>
      <c r="G393" s="12"/>
    </row>
    <row r="394">
      <c r="F394" s="12"/>
      <c r="G394" s="12"/>
    </row>
    <row r="395">
      <c r="F395" s="12"/>
      <c r="G395" s="12"/>
    </row>
    <row r="396">
      <c r="F396" s="12"/>
      <c r="G396" s="12"/>
    </row>
    <row r="397">
      <c r="F397" s="12"/>
      <c r="G397" s="12"/>
    </row>
    <row r="398">
      <c r="F398" s="12"/>
      <c r="G398" s="12"/>
    </row>
    <row r="399">
      <c r="F399" s="12"/>
      <c r="G399" s="12"/>
    </row>
    <row r="400">
      <c r="F400" s="12"/>
      <c r="G400" s="12"/>
    </row>
    <row r="401">
      <c r="F401" s="12"/>
      <c r="G401" s="12"/>
    </row>
    <row r="402">
      <c r="F402" s="12"/>
      <c r="G402" s="12"/>
    </row>
    <row r="403">
      <c r="F403" s="12"/>
      <c r="G403" s="12"/>
    </row>
    <row r="404">
      <c r="F404" s="12"/>
      <c r="G404" s="12"/>
    </row>
    <row r="405">
      <c r="F405" s="12"/>
      <c r="G405" s="12"/>
    </row>
    <row r="406">
      <c r="F406" s="12"/>
      <c r="G406" s="12"/>
    </row>
    <row r="407">
      <c r="F407" s="12"/>
      <c r="G407" s="12"/>
    </row>
    <row r="408">
      <c r="F408" s="12"/>
      <c r="G408" s="12"/>
    </row>
    <row r="409">
      <c r="F409" s="12"/>
      <c r="G409" s="12"/>
    </row>
    <row r="410">
      <c r="F410" s="12"/>
      <c r="G410" s="12"/>
    </row>
    <row r="411">
      <c r="F411" s="12"/>
      <c r="G411" s="12"/>
    </row>
    <row r="412">
      <c r="F412" s="12"/>
      <c r="G412" s="12"/>
    </row>
    <row r="413">
      <c r="F413" s="12"/>
      <c r="G413" s="12"/>
    </row>
    <row r="414">
      <c r="F414" s="12"/>
      <c r="G414" s="12"/>
    </row>
    <row r="415">
      <c r="F415" s="12"/>
      <c r="G415" s="12"/>
    </row>
    <row r="416">
      <c r="F416" s="12"/>
      <c r="G416" s="12"/>
    </row>
    <row r="417">
      <c r="F417" s="12"/>
      <c r="G417" s="12"/>
    </row>
    <row r="418">
      <c r="F418" s="12"/>
      <c r="G418" s="12"/>
    </row>
    <row r="419">
      <c r="F419" s="12"/>
      <c r="G419" s="12"/>
    </row>
    <row r="420">
      <c r="F420" s="12"/>
      <c r="G420" s="12"/>
    </row>
    <row r="421">
      <c r="F421" s="12"/>
      <c r="G421" s="12"/>
    </row>
    <row r="422">
      <c r="F422" s="12"/>
      <c r="G422" s="12"/>
    </row>
    <row r="423">
      <c r="F423" s="12"/>
      <c r="G423" s="12"/>
    </row>
    <row r="424">
      <c r="F424" s="12"/>
      <c r="G424" s="12"/>
    </row>
    <row r="425">
      <c r="F425" s="12"/>
      <c r="G425" s="12"/>
    </row>
    <row r="426">
      <c r="F426" s="12"/>
      <c r="G426" s="12"/>
    </row>
    <row r="427">
      <c r="F427" s="12"/>
      <c r="G427" s="12"/>
    </row>
    <row r="428">
      <c r="F428" s="12"/>
      <c r="G428" s="12"/>
    </row>
    <row r="429">
      <c r="F429" s="12"/>
      <c r="G429" s="12"/>
    </row>
    <row r="430">
      <c r="F430" s="12"/>
      <c r="G430" s="12"/>
    </row>
    <row r="431">
      <c r="F431" s="12"/>
      <c r="G431" s="12"/>
    </row>
    <row r="432">
      <c r="F432" s="12"/>
      <c r="G432" s="12"/>
    </row>
    <row r="433">
      <c r="F433" s="12"/>
      <c r="G433" s="12"/>
    </row>
    <row r="434">
      <c r="F434" s="12"/>
      <c r="G434" s="12"/>
    </row>
    <row r="435">
      <c r="F435" s="12"/>
      <c r="G435" s="12"/>
    </row>
    <row r="436">
      <c r="F436" s="12"/>
      <c r="G436" s="12"/>
    </row>
    <row r="437">
      <c r="F437" s="12"/>
      <c r="G437" s="12"/>
    </row>
    <row r="438">
      <c r="F438" s="12"/>
      <c r="G438" s="12"/>
    </row>
    <row r="439">
      <c r="F439" s="12"/>
      <c r="G439" s="12"/>
    </row>
    <row r="440">
      <c r="F440" s="12"/>
      <c r="G440" s="12"/>
    </row>
    <row r="441">
      <c r="F441" s="12"/>
      <c r="G441" s="12"/>
    </row>
    <row r="442">
      <c r="F442" s="12"/>
      <c r="G442" s="12"/>
    </row>
    <row r="443">
      <c r="F443" s="12"/>
      <c r="G443" s="12"/>
    </row>
    <row r="444">
      <c r="F444" s="12"/>
      <c r="G444" s="12"/>
    </row>
    <row r="445">
      <c r="F445" s="12"/>
      <c r="G445" s="12"/>
    </row>
    <row r="446">
      <c r="F446" s="12"/>
      <c r="G446" s="12"/>
    </row>
    <row r="447">
      <c r="F447" s="12"/>
      <c r="G447" s="12"/>
    </row>
    <row r="448">
      <c r="F448" s="12"/>
      <c r="G448" s="12"/>
    </row>
    <row r="449">
      <c r="F449" s="12"/>
      <c r="G449" s="12"/>
    </row>
    <row r="450">
      <c r="F450" s="12"/>
      <c r="G450" s="12"/>
    </row>
    <row r="451">
      <c r="F451" s="12"/>
      <c r="G451" s="12"/>
    </row>
    <row r="452">
      <c r="F452" s="12"/>
      <c r="G452" s="12"/>
    </row>
    <row r="453">
      <c r="F453" s="12"/>
      <c r="G453" s="12"/>
    </row>
    <row r="454">
      <c r="F454" s="12"/>
      <c r="G454" s="12"/>
    </row>
    <row r="455">
      <c r="F455" s="12"/>
      <c r="G455" s="12"/>
    </row>
    <row r="456">
      <c r="F456" s="12"/>
      <c r="G456" s="12"/>
    </row>
    <row r="457">
      <c r="F457" s="12"/>
      <c r="G457" s="12"/>
    </row>
    <row r="458">
      <c r="F458" s="12"/>
      <c r="G458" s="12"/>
    </row>
    <row r="459">
      <c r="F459" s="12"/>
      <c r="G459" s="12"/>
    </row>
    <row r="460">
      <c r="F460" s="12"/>
      <c r="G460" s="12"/>
    </row>
    <row r="461">
      <c r="F461" s="12"/>
      <c r="G461" s="12"/>
    </row>
    <row r="462">
      <c r="F462" s="12"/>
      <c r="G462" s="12"/>
    </row>
    <row r="463">
      <c r="F463" s="12"/>
      <c r="G463" s="12"/>
    </row>
    <row r="464">
      <c r="F464" s="12"/>
      <c r="G464" s="12"/>
    </row>
    <row r="465">
      <c r="F465" s="12"/>
      <c r="G465" s="12"/>
    </row>
    <row r="466">
      <c r="F466" s="12"/>
      <c r="G466" s="12"/>
    </row>
    <row r="467">
      <c r="F467" s="12"/>
      <c r="G467" s="12"/>
    </row>
    <row r="468">
      <c r="F468" s="12"/>
      <c r="G468" s="12"/>
    </row>
    <row r="469">
      <c r="F469" s="12"/>
      <c r="G469" s="12"/>
    </row>
    <row r="470">
      <c r="F470" s="12"/>
      <c r="G470" s="12"/>
    </row>
    <row r="471">
      <c r="F471" s="12"/>
      <c r="G471" s="12"/>
    </row>
    <row r="472">
      <c r="F472" s="12"/>
      <c r="G472" s="12"/>
    </row>
    <row r="473">
      <c r="F473" s="12"/>
      <c r="G473" s="12"/>
    </row>
    <row r="474">
      <c r="F474" s="12"/>
      <c r="G474" s="12"/>
    </row>
    <row r="475">
      <c r="F475" s="12"/>
      <c r="G475" s="12"/>
    </row>
    <row r="476">
      <c r="F476" s="12"/>
      <c r="G476" s="12"/>
    </row>
    <row r="477">
      <c r="F477" s="12"/>
      <c r="G477" s="12"/>
    </row>
    <row r="478">
      <c r="F478" s="12"/>
      <c r="G478" s="12"/>
    </row>
    <row r="479">
      <c r="F479" s="12"/>
      <c r="G479" s="12"/>
    </row>
    <row r="480">
      <c r="F480" s="12"/>
      <c r="G480" s="12"/>
    </row>
    <row r="481">
      <c r="F481" s="12"/>
      <c r="G481" s="12"/>
    </row>
    <row r="482">
      <c r="F482" s="12"/>
      <c r="G482" s="12"/>
    </row>
    <row r="483">
      <c r="F483" s="12"/>
      <c r="G483" s="12"/>
    </row>
    <row r="484">
      <c r="F484" s="12"/>
      <c r="G484" s="12"/>
    </row>
    <row r="485">
      <c r="F485" s="12"/>
      <c r="G485" s="12"/>
    </row>
    <row r="486">
      <c r="F486" s="12"/>
      <c r="G486" s="12"/>
    </row>
    <row r="487">
      <c r="F487" s="12"/>
      <c r="G487" s="12"/>
    </row>
    <row r="488">
      <c r="F488" s="12"/>
      <c r="G488" s="12"/>
    </row>
    <row r="489">
      <c r="F489" s="12"/>
      <c r="G489" s="12"/>
    </row>
    <row r="490">
      <c r="F490" s="12"/>
      <c r="G490" s="12"/>
    </row>
    <row r="491">
      <c r="F491" s="12"/>
      <c r="G491" s="12"/>
    </row>
    <row r="492">
      <c r="F492" s="12"/>
      <c r="G492" s="12"/>
    </row>
    <row r="493">
      <c r="F493" s="12"/>
      <c r="G493" s="12"/>
    </row>
    <row r="494">
      <c r="F494" s="12"/>
      <c r="G494" s="12"/>
    </row>
    <row r="495">
      <c r="F495" s="12"/>
      <c r="G495" s="12"/>
    </row>
    <row r="496">
      <c r="F496" s="12"/>
      <c r="G496" s="12"/>
    </row>
    <row r="497">
      <c r="F497" s="12"/>
      <c r="G497" s="12"/>
    </row>
    <row r="498">
      <c r="F498" s="12"/>
      <c r="G498" s="12"/>
    </row>
    <row r="499">
      <c r="F499" s="12"/>
      <c r="G499" s="12"/>
    </row>
    <row r="500">
      <c r="F500" s="12"/>
      <c r="G500" s="12"/>
    </row>
    <row r="501">
      <c r="F501" s="12"/>
      <c r="G501" s="12"/>
    </row>
    <row r="502">
      <c r="F502" s="12"/>
      <c r="G502" s="12"/>
    </row>
    <row r="503">
      <c r="F503" s="12"/>
      <c r="G503" s="12"/>
    </row>
    <row r="504">
      <c r="F504" s="12"/>
      <c r="G504" s="12"/>
    </row>
    <row r="505">
      <c r="F505" s="12"/>
      <c r="G505" s="12"/>
    </row>
    <row r="506">
      <c r="F506" s="12"/>
      <c r="G506" s="12"/>
    </row>
    <row r="507">
      <c r="F507" s="12"/>
      <c r="G507" s="12"/>
    </row>
    <row r="508">
      <c r="F508" s="12"/>
      <c r="G508" s="12"/>
    </row>
    <row r="509">
      <c r="F509" s="12"/>
      <c r="G509" s="12"/>
    </row>
    <row r="510">
      <c r="F510" s="12"/>
      <c r="G510" s="12"/>
    </row>
    <row r="511">
      <c r="F511" s="12"/>
      <c r="G511" s="12"/>
    </row>
    <row r="512">
      <c r="F512" s="12"/>
      <c r="G512" s="12"/>
    </row>
    <row r="513">
      <c r="F513" s="12"/>
      <c r="G513" s="12"/>
    </row>
    <row r="514">
      <c r="F514" s="12"/>
      <c r="G514" s="12"/>
    </row>
    <row r="515">
      <c r="F515" s="12"/>
      <c r="G515" s="12"/>
    </row>
    <row r="516">
      <c r="F516" s="12"/>
      <c r="G516" s="12"/>
    </row>
    <row r="517">
      <c r="F517" s="12"/>
      <c r="G517" s="12"/>
    </row>
    <row r="518">
      <c r="F518" s="12"/>
      <c r="G518" s="12"/>
    </row>
    <row r="519">
      <c r="F519" s="12"/>
      <c r="G519" s="12"/>
    </row>
    <row r="520">
      <c r="F520" s="12"/>
      <c r="G520" s="12"/>
    </row>
    <row r="521">
      <c r="F521" s="12"/>
      <c r="G521" s="12"/>
    </row>
    <row r="522">
      <c r="F522" s="12"/>
      <c r="G522" s="12"/>
    </row>
    <row r="523">
      <c r="F523" s="12"/>
      <c r="G523" s="12"/>
    </row>
    <row r="524">
      <c r="F524" s="12"/>
      <c r="G524" s="12"/>
    </row>
    <row r="525">
      <c r="F525" s="12"/>
      <c r="G525" s="12"/>
    </row>
    <row r="526">
      <c r="F526" s="12"/>
      <c r="G526" s="12"/>
    </row>
    <row r="527">
      <c r="F527" s="12"/>
      <c r="G527" s="12"/>
    </row>
    <row r="528">
      <c r="F528" s="12"/>
      <c r="G528" s="12"/>
    </row>
    <row r="529">
      <c r="F529" s="12"/>
      <c r="G529" s="12"/>
    </row>
    <row r="530">
      <c r="F530" s="12"/>
      <c r="G530" s="12"/>
    </row>
    <row r="531">
      <c r="F531" s="12"/>
      <c r="G531" s="12"/>
    </row>
    <row r="532">
      <c r="F532" s="12"/>
      <c r="G532" s="12"/>
    </row>
    <row r="533">
      <c r="F533" s="12"/>
      <c r="G533" s="12"/>
    </row>
    <row r="534">
      <c r="F534" s="12"/>
      <c r="G534" s="12"/>
    </row>
    <row r="535">
      <c r="F535" s="12"/>
      <c r="G535" s="12"/>
    </row>
    <row r="536">
      <c r="F536" s="12"/>
      <c r="G536" s="12"/>
    </row>
    <row r="537">
      <c r="F537" s="12"/>
      <c r="G537" s="12"/>
    </row>
    <row r="538">
      <c r="F538" s="12"/>
      <c r="G538" s="12"/>
    </row>
    <row r="539">
      <c r="F539" s="12"/>
      <c r="G539" s="12"/>
    </row>
    <row r="540">
      <c r="F540" s="12"/>
      <c r="G540" s="12"/>
    </row>
    <row r="541">
      <c r="F541" s="12"/>
      <c r="G541" s="12"/>
    </row>
    <row r="542">
      <c r="F542" s="12"/>
      <c r="G542" s="12"/>
    </row>
    <row r="543">
      <c r="F543" s="12"/>
      <c r="G543" s="12"/>
    </row>
    <row r="544">
      <c r="F544" s="12"/>
      <c r="G544" s="12"/>
    </row>
    <row r="545">
      <c r="F545" s="12"/>
      <c r="G545" s="12"/>
    </row>
    <row r="546">
      <c r="F546" s="12"/>
      <c r="G546" s="12"/>
    </row>
    <row r="547">
      <c r="F547" s="12"/>
      <c r="G547" s="12"/>
    </row>
    <row r="548">
      <c r="F548" s="12"/>
      <c r="G548" s="12"/>
    </row>
    <row r="549">
      <c r="F549" s="12"/>
      <c r="G549" s="12"/>
    </row>
    <row r="550">
      <c r="F550" s="12"/>
      <c r="G550" s="12"/>
    </row>
    <row r="551">
      <c r="F551" s="12"/>
      <c r="G551" s="12"/>
    </row>
    <row r="552">
      <c r="F552" s="12"/>
      <c r="G552" s="12"/>
    </row>
    <row r="553">
      <c r="F553" s="12"/>
      <c r="G553" s="12"/>
    </row>
    <row r="554">
      <c r="F554" s="12"/>
      <c r="G554" s="12"/>
    </row>
    <row r="555">
      <c r="F555" s="12"/>
      <c r="G555" s="12"/>
    </row>
    <row r="556">
      <c r="F556" s="12"/>
      <c r="G556" s="12"/>
    </row>
    <row r="557">
      <c r="F557" s="12"/>
      <c r="G557" s="12"/>
    </row>
    <row r="558">
      <c r="F558" s="12"/>
      <c r="G558" s="12"/>
    </row>
    <row r="559">
      <c r="F559" s="12"/>
      <c r="G559" s="12"/>
    </row>
    <row r="560">
      <c r="F560" s="12"/>
      <c r="G560" s="12"/>
    </row>
    <row r="561">
      <c r="F561" s="12"/>
      <c r="G561" s="12"/>
    </row>
    <row r="562">
      <c r="F562" s="12"/>
      <c r="G562" s="12"/>
    </row>
    <row r="563">
      <c r="F563" s="12"/>
      <c r="G563" s="12"/>
    </row>
    <row r="564">
      <c r="F564" s="12"/>
      <c r="G564" s="12"/>
    </row>
    <row r="565">
      <c r="F565" s="12"/>
      <c r="G565" s="12"/>
    </row>
    <row r="566">
      <c r="F566" s="12"/>
      <c r="G566" s="12"/>
    </row>
    <row r="567">
      <c r="F567" s="12"/>
      <c r="G567" s="12"/>
    </row>
    <row r="568">
      <c r="F568" s="12"/>
      <c r="G568" s="12"/>
    </row>
    <row r="569">
      <c r="F569" s="12"/>
      <c r="G569" s="12"/>
    </row>
    <row r="570">
      <c r="F570" s="12"/>
      <c r="G570" s="12"/>
    </row>
    <row r="571">
      <c r="F571" s="12"/>
      <c r="G571" s="12"/>
    </row>
    <row r="572">
      <c r="F572" s="12"/>
      <c r="G572" s="12"/>
    </row>
    <row r="573">
      <c r="F573" s="12"/>
      <c r="G573" s="12"/>
    </row>
    <row r="574">
      <c r="F574" s="12"/>
      <c r="G574" s="12"/>
    </row>
    <row r="575">
      <c r="F575" s="12"/>
      <c r="G575" s="12"/>
    </row>
    <row r="576">
      <c r="F576" s="12"/>
      <c r="G576" s="12"/>
    </row>
    <row r="577">
      <c r="F577" s="12"/>
      <c r="G577" s="12"/>
    </row>
    <row r="578">
      <c r="F578" s="12"/>
      <c r="G578" s="12"/>
    </row>
    <row r="579">
      <c r="F579" s="12"/>
      <c r="G579" s="12"/>
    </row>
    <row r="580">
      <c r="F580" s="12"/>
      <c r="G580" s="12"/>
    </row>
    <row r="581">
      <c r="F581" s="12"/>
      <c r="G581" s="12"/>
    </row>
    <row r="582">
      <c r="F582" s="12"/>
      <c r="G582" s="12"/>
    </row>
    <row r="583">
      <c r="F583" s="12"/>
      <c r="G583" s="12"/>
    </row>
    <row r="584">
      <c r="F584" s="12"/>
      <c r="G584" s="12"/>
    </row>
    <row r="585">
      <c r="F585" s="12"/>
      <c r="G585" s="12"/>
    </row>
    <row r="586">
      <c r="F586" s="12"/>
      <c r="G586" s="12"/>
    </row>
    <row r="587">
      <c r="F587" s="12"/>
      <c r="G587" s="12"/>
    </row>
    <row r="588">
      <c r="F588" s="12"/>
      <c r="G588" s="12"/>
    </row>
    <row r="589">
      <c r="F589" s="12"/>
      <c r="G589" s="12"/>
    </row>
    <row r="590">
      <c r="F590" s="12"/>
      <c r="G590" s="12"/>
    </row>
    <row r="591">
      <c r="F591" s="12"/>
      <c r="G591" s="12"/>
    </row>
    <row r="592">
      <c r="F592" s="12"/>
      <c r="G592" s="12"/>
    </row>
    <row r="593">
      <c r="F593" s="12"/>
      <c r="G593" s="12"/>
    </row>
    <row r="594">
      <c r="F594" s="12"/>
      <c r="G594" s="12"/>
    </row>
    <row r="595">
      <c r="F595" s="12"/>
      <c r="G595" s="12"/>
    </row>
    <row r="596">
      <c r="F596" s="12"/>
      <c r="G596" s="12"/>
    </row>
    <row r="597">
      <c r="F597" s="12"/>
      <c r="G597" s="12"/>
    </row>
    <row r="598">
      <c r="F598" s="12"/>
      <c r="G598" s="12"/>
    </row>
    <row r="599">
      <c r="F599" s="12"/>
      <c r="G599" s="12"/>
    </row>
    <row r="600">
      <c r="F600" s="12"/>
      <c r="G600" s="12"/>
    </row>
    <row r="601">
      <c r="F601" s="12"/>
      <c r="G601" s="12"/>
    </row>
    <row r="602">
      <c r="F602" s="12"/>
      <c r="G602" s="12"/>
    </row>
    <row r="603">
      <c r="F603" s="12"/>
      <c r="G603" s="12"/>
    </row>
    <row r="604">
      <c r="F604" s="12"/>
      <c r="G604" s="12"/>
    </row>
    <row r="605">
      <c r="F605" s="12"/>
      <c r="G605" s="12"/>
    </row>
    <row r="606">
      <c r="F606" s="12"/>
      <c r="G606" s="12"/>
    </row>
    <row r="607">
      <c r="F607" s="12"/>
      <c r="G607" s="12"/>
    </row>
    <row r="608">
      <c r="F608" s="12"/>
      <c r="G608" s="12"/>
    </row>
    <row r="609">
      <c r="F609" s="12"/>
      <c r="G609" s="12"/>
    </row>
    <row r="610">
      <c r="F610" s="12"/>
      <c r="G610" s="12"/>
    </row>
    <row r="611">
      <c r="F611" s="12"/>
      <c r="G611" s="12"/>
    </row>
    <row r="612">
      <c r="F612" s="12"/>
      <c r="G612" s="12"/>
    </row>
    <row r="613">
      <c r="F613" s="12"/>
      <c r="G613" s="12"/>
    </row>
    <row r="614">
      <c r="F614" s="12"/>
      <c r="G614" s="12"/>
    </row>
    <row r="615">
      <c r="F615" s="12"/>
      <c r="G615" s="12"/>
    </row>
    <row r="616">
      <c r="F616" s="12"/>
      <c r="G616" s="12"/>
    </row>
    <row r="617">
      <c r="F617" s="12"/>
      <c r="G617" s="12"/>
    </row>
    <row r="618">
      <c r="F618" s="12"/>
      <c r="G618" s="12"/>
    </row>
    <row r="619">
      <c r="F619" s="12"/>
      <c r="G619" s="12"/>
    </row>
    <row r="620">
      <c r="F620" s="12"/>
      <c r="G620" s="12"/>
    </row>
    <row r="621">
      <c r="F621" s="12"/>
      <c r="G621" s="12"/>
    </row>
    <row r="622">
      <c r="F622" s="12"/>
      <c r="G622" s="12"/>
    </row>
    <row r="623">
      <c r="F623" s="12"/>
      <c r="G623" s="12"/>
    </row>
    <row r="624">
      <c r="F624" s="12"/>
      <c r="G624" s="12"/>
    </row>
    <row r="625">
      <c r="F625" s="12"/>
      <c r="G625" s="12"/>
    </row>
    <row r="626">
      <c r="F626" s="12"/>
      <c r="G626" s="12"/>
    </row>
    <row r="627">
      <c r="F627" s="12"/>
      <c r="G627" s="12"/>
    </row>
    <row r="628">
      <c r="F628" s="12"/>
      <c r="G628" s="12"/>
    </row>
    <row r="629">
      <c r="F629" s="12"/>
      <c r="G629" s="12"/>
    </row>
    <row r="630">
      <c r="F630" s="12"/>
      <c r="G630" s="12"/>
    </row>
    <row r="631">
      <c r="F631" s="12"/>
      <c r="G631" s="12"/>
    </row>
    <row r="632">
      <c r="F632" s="12"/>
      <c r="G632" s="12"/>
    </row>
    <row r="633">
      <c r="F633" s="12"/>
      <c r="G633" s="12"/>
    </row>
    <row r="634">
      <c r="F634" s="12"/>
      <c r="G634" s="12"/>
    </row>
    <row r="635">
      <c r="F635" s="12"/>
      <c r="G635" s="12"/>
    </row>
    <row r="636">
      <c r="F636" s="12"/>
      <c r="G636" s="12"/>
    </row>
    <row r="637">
      <c r="F637" s="12"/>
      <c r="G637" s="12"/>
    </row>
    <row r="638">
      <c r="F638" s="12"/>
      <c r="G638" s="12"/>
    </row>
    <row r="639">
      <c r="F639" s="12"/>
      <c r="G639" s="12"/>
    </row>
    <row r="640">
      <c r="F640" s="12"/>
      <c r="G640" s="12"/>
    </row>
    <row r="641">
      <c r="F641" s="12"/>
      <c r="G641" s="12"/>
    </row>
    <row r="642">
      <c r="F642" s="12"/>
      <c r="G642" s="12"/>
    </row>
    <row r="643">
      <c r="F643" s="12"/>
      <c r="G643" s="12"/>
    </row>
    <row r="644">
      <c r="F644" s="12"/>
      <c r="G644" s="12"/>
    </row>
    <row r="645">
      <c r="F645" s="12"/>
      <c r="G645" s="12"/>
    </row>
    <row r="646">
      <c r="F646" s="12"/>
      <c r="G646" s="12"/>
    </row>
    <row r="647">
      <c r="F647" s="12"/>
      <c r="G647" s="12"/>
    </row>
    <row r="648">
      <c r="F648" s="12"/>
      <c r="G648" s="12"/>
    </row>
    <row r="649">
      <c r="F649" s="12"/>
      <c r="G649" s="12"/>
    </row>
    <row r="650">
      <c r="F650" s="12"/>
      <c r="G650" s="12"/>
    </row>
    <row r="651">
      <c r="F651" s="12"/>
      <c r="G651" s="12"/>
    </row>
    <row r="652">
      <c r="F652" s="12"/>
      <c r="G652" s="12"/>
    </row>
    <row r="653">
      <c r="F653" s="12"/>
      <c r="G653" s="12"/>
    </row>
    <row r="654">
      <c r="F654" s="12"/>
      <c r="G654" s="12"/>
    </row>
    <row r="655">
      <c r="F655" s="12"/>
      <c r="G655" s="12"/>
    </row>
    <row r="656">
      <c r="F656" s="12"/>
      <c r="G656" s="12"/>
    </row>
    <row r="657">
      <c r="F657" s="12"/>
      <c r="G657" s="12"/>
    </row>
    <row r="658">
      <c r="F658" s="12"/>
      <c r="G658" s="12"/>
    </row>
    <row r="659">
      <c r="F659" s="12"/>
      <c r="G659" s="12"/>
    </row>
    <row r="660">
      <c r="F660" s="12"/>
      <c r="G660" s="12"/>
    </row>
    <row r="661">
      <c r="F661" s="12"/>
      <c r="G661" s="12"/>
    </row>
    <row r="662">
      <c r="F662" s="12"/>
      <c r="G662" s="12"/>
    </row>
    <row r="663">
      <c r="F663" s="12"/>
      <c r="G663" s="12"/>
    </row>
    <row r="664">
      <c r="F664" s="12"/>
      <c r="G664" s="12"/>
    </row>
    <row r="665">
      <c r="F665" s="12"/>
      <c r="G665" s="12"/>
    </row>
    <row r="666">
      <c r="F666" s="12"/>
      <c r="G666" s="12"/>
    </row>
    <row r="667">
      <c r="F667" s="12"/>
      <c r="G667" s="12"/>
    </row>
    <row r="668">
      <c r="F668" s="12"/>
      <c r="G668" s="12"/>
    </row>
    <row r="669">
      <c r="F669" s="12"/>
      <c r="G669" s="12"/>
    </row>
    <row r="670">
      <c r="F670" s="12"/>
      <c r="G670" s="12"/>
    </row>
    <row r="671">
      <c r="F671" s="12"/>
      <c r="G671" s="12"/>
    </row>
    <row r="672">
      <c r="F672" s="12"/>
      <c r="G672" s="12"/>
    </row>
    <row r="673">
      <c r="F673" s="12"/>
      <c r="G673" s="12"/>
    </row>
    <row r="674">
      <c r="F674" s="12"/>
      <c r="G674" s="12"/>
    </row>
    <row r="675">
      <c r="F675" s="12"/>
      <c r="G675" s="12"/>
    </row>
    <row r="676">
      <c r="F676" s="12"/>
      <c r="G676" s="12"/>
    </row>
    <row r="677">
      <c r="F677" s="12"/>
      <c r="G677" s="12"/>
    </row>
    <row r="678">
      <c r="F678" s="12"/>
      <c r="G678" s="12"/>
    </row>
    <row r="679">
      <c r="F679" s="12"/>
      <c r="G679" s="12"/>
    </row>
    <row r="680">
      <c r="F680" s="12"/>
      <c r="G680" s="12"/>
    </row>
    <row r="681">
      <c r="F681" s="12"/>
      <c r="G681" s="12"/>
    </row>
    <row r="682">
      <c r="F682" s="12"/>
      <c r="G682" s="12"/>
    </row>
    <row r="683">
      <c r="F683" s="12"/>
      <c r="G683" s="12"/>
    </row>
    <row r="684">
      <c r="F684" s="12"/>
      <c r="G684" s="12"/>
    </row>
    <row r="685">
      <c r="F685" s="12"/>
      <c r="G685" s="12"/>
    </row>
    <row r="686">
      <c r="F686" s="12"/>
      <c r="G686" s="12"/>
    </row>
    <row r="687">
      <c r="F687" s="12"/>
      <c r="G687" s="12"/>
    </row>
    <row r="688">
      <c r="F688" s="12"/>
      <c r="G688" s="12"/>
    </row>
    <row r="689">
      <c r="F689" s="12"/>
      <c r="G689" s="12"/>
    </row>
    <row r="690">
      <c r="F690" s="12"/>
      <c r="G690" s="12"/>
    </row>
    <row r="691">
      <c r="F691" s="12"/>
      <c r="G691" s="12"/>
    </row>
    <row r="692">
      <c r="F692" s="12"/>
      <c r="G692" s="12"/>
    </row>
    <row r="693">
      <c r="F693" s="12"/>
      <c r="G693" s="12"/>
    </row>
    <row r="694">
      <c r="F694" s="12"/>
      <c r="G694" s="12"/>
    </row>
    <row r="695">
      <c r="F695" s="12"/>
      <c r="G695" s="12"/>
    </row>
    <row r="696">
      <c r="F696" s="12"/>
      <c r="G696" s="12"/>
    </row>
    <row r="697">
      <c r="F697" s="12"/>
      <c r="G697" s="12"/>
    </row>
    <row r="698">
      <c r="F698" s="12"/>
      <c r="G698" s="12"/>
    </row>
    <row r="699">
      <c r="F699" s="12"/>
      <c r="G699" s="12"/>
    </row>
    <row r="700">
      <c r="F700" s="12"/>
      <c r="G700" s="12"/>
    </row>
    <row r="701">
      <c r="F701" s="12"/>
      <c r="G701" s="12"/>
    </row>
    <row r="702">
      <c r="F702" s="12"/>
      <c r="G702" s="12"/>
    </row>
    <row r="703">
      <c r="F703" s="12"/>
      <c r="G703" s="12"/>
    </row>
    <row r="704">
      <c r="F704" s="12"/>
      <c r="G704" s="12"/>
    </row>
    <row r="705">
      <c r="F705" s="12"/>
      <c r="G705" s="12"/>
    </row>
    <row r="706">
      <c r="F706" s="12"/>
      <c r="G706" s="12"/>
    </row>
    <row r="707">
      <c r="F707" s="12"/>
      <c r="G707" s="12"/>
    </row>
    <row r="708">
      <c r="F708" s="12"/>
      <c r="G708" s="12"/>
    </row>
    <row r="709">
      <c r="F709" s="12"/>
      <c r="G709" s="12"/>
    </row>
    <row r="710">
      <c r="F710" s="12"/>
      <c r="G710" s="12"/>
    </row>
    <row r="711">
      <c r="F711" s="12"/>
      <c r="G711" s="12"/>
    </row>
    <row r="712">
      <c r="F712" s="12"/>
      <c r="G712" s="12"/>
    </row>
    <row r="713">
      <c r="F713" s="12"/>
      <c r="G713" s="12"/>
    </row>
    <row r="714">
      <c r="F714" s="12"/>
      <c r="G714" s="12"/>
    </row>
    <row r="715">
      <c r="F715" s="12"/>
      <c r="G715" s="12"/>
    </row>
    <row r="716">
      <c r="F716" s="12"/>
      <c r="G716" s="12"/>
    </row>
    <row r="717">
      <c r="F717" s="12"/>
      <c r="G717" s="12"/>
    </row>
    <row r="718">
      <c r="F718" s="12"/>
      <c r="G718" s="12"/>
    </row>
    <row r="719">
      <c r="F719" s="12"/>
      <c r="G719" s="12"/>
    </row>
    <row r="720">
      <c r="F720" s="12"/>
      <c r="G720" s="12"/>
    </row>
    <row r="721">
      <c r="F721" s="12"/>
      <c r="G721" s="12"/>
    </row>
    <row r="722">
      <c r="F722" s="12"/>
      <c r="G722" s="12"/>
    </row>
    <row r="723">
      <c r="F723" s="12"/>
      <c r="G723" s="12"/>
    </row>
    <row r="724">
      <c r="F724" s="12"/>
      <c r="G724" s="12"/>
    </row>
    <row r="725">
      <c r="F725" s="12"/>
      <c r="G725" s="12"/>
    </row>
    <row r="726">
      <c r="F726" s="12"/>
      <c r="G726" s="12"/>
    </row>
    <row r="727">
      <c r="F727" s="12"/>
      <c r="G727" s="12"/>
    </row>
    <row r="728">
      <c r="F728" s="12"/>
      <c r="G728" s="12"/>
    </row>
    <row r="729">
      <c r="F729" s="12"/>
      <c r="G729" s="12"/>
    </row>
    <row r="730">
      <c r="F730" s="12"/>
      <c r="G730" s="12"/>
    </row>
    <row r="731">
      <c r="F731" s="12"/>
      <c r="G731" s="12"/>
    </row>
    <row r="732">
      <c r="F732" s="12"/>
      <c r="G732" s="12"/>
    </row>
    <row r="733">
      <c r="F733" s="12"/>
      <c r="G733" s="12"/>
    </row>
    <row r="734">
      <c r="F734" s="12"/>
      <c r="G734" s="12"/>
    </row>
    <row r="735">
      <c r="F735" s="12"/>
      <c r="G735" s="12"/>
    </row>
    <row r="736">
      <c r="F736" s="12"/>
      <c r="G736" s="12"/>
    </row>
    <row r="737">
      <c r="F737" s="12"/>
      <c r="G737" s="12"/>
    </row>
    <row r="738">
      <c r="F738" s="12"/>
      <c r="G738" s="12"/>
    </row>
    <row r="739">
      <c r="F739" s="12"/>
      <c r="G739" s="12"/>
    </row>
    <row r="740">
      <c r="F740" s="12"/>
      <c r="G740" s="12"/>
    </row>
    <row r="741">
      <c r="F741" s="12"/>
      <c r="G741" s="12"/>
    </row>
    <row r="742">
      <c r="F742" s="12"/>
      <c r="G742" s="12"/>
    </row>
    <row r="743">
      <c r="F743" s="12"/>
      <c r="G743" s="12"/>
    </row>
    <row r="744">
      <c r="F744" s="12"/>
      <c r="G744" s="12"/>
    </row>
    <row r="745">
      <c r="F745" s="12"/>
      <c r="G745" s="12"/>
    </row>
    <row r="746">
      <c r="F746" s="12"/>
      <c r="G746" s="12"/>
    </row>
    <row r="747">
      <c r="F747" s="12"/>
      <c r="G747" s="12"/>
    </row>
    <row r="748">
      <c r="F748" s="12"/>
      <c r="G748" s="12"/>
    </row>
    <row r="749">
      <c r="F749" s="12"/>
      <c r="G749" s="12"/>
    </row>
    <row r="750">
      <c r="F750" s="12"/>
      <c r="G750" s="12"/>
    </row>
    <row r="751">
      <c r="F751" s="12"/>
      <c r="G751" s="12"/>
    </row>
    <row r="752">
      <c r="F752" s="12"/>
      <c r="G752" s="12"/>
    </row>
    <row r="753">
      <c r="F753" s="12"/>
      <c r="G753" s="12"/>
    </row>
    <row r="754">
      <c r="F754" s="12"/>
      <c r="G754" s="12"/>
    </row>
    <row r="755">
      <c r="F755" s="12"/>
      <c r="G755" s="12"/>
    </row>
    <row r="756">
      <c r="F756" s="12"/>
      <c r="G756" s="12"/>
    </row>
    <row r="757">
      <c r="F757" s="12"/>
      <c r="G757" s="12"/>
    </row>
    <row r="758">
      <c r="F758" s="12"/>
      <c r="G758" s="12"/>
    </row>
    <row r="759">
      <c r="F759" s="12"/>
      <c r="G759" s="12"/>
    </row>
    <row r="760">
      <c r="F760" s="12"/>
      <c r="G760" s="12"/>
    </row>
    <row r="761">
      <c r="F761" s="12"/>
      <c r="G761" s="12"/>
    </row>
    <row r="762">
      <c r="F762" s="12"/>
      <c r="G762" s="12"/>
    </row>
    <row r="763">
      <c r="F763" s="12"/>
      <c r="G763" s="12"/>
    </row>
    <row r="764">
      <c r="F764" s="12"/>
      <c r="G764" s="12"/>
    </row>
    <row r="765">
      <c r="F765" s="12"/>
      <c r="G765" s="12"/>
    </row>
    <row r="766">
      <c r="F766" s="12"/>
      <c r="G766" s="12"/>
    </row>
    <row r="767">
      <c r="F767" s="12"/>
      <c r="G767" s="12"/>
    </row>
    <row r="768">
      <c r="F768" s="12"/>
      <c r="G768" s="12"/>
    </row>
    <row r="769">
      <c r="F769" s="12"/>
      <c r="G769" s="12"/>
    </row>
    <row r="770">
      <c r="F770" s="12"/>
      <c r="G770" s="12"/>
    </row>
    <row r="771">
      <c r="F771" s="12"/>
      <c r="G771" s="12"/>
    </row>
    <row r="772">
      <c r="F772" s="12"/>
      <c r="G772" s="12"/>
    </row>
    <row r="773">
      <c r="F773" s="12"/>
      <c r="G773" s="12"/>
    </row>
    <row r="774">
      <c r="F774" s="12"/>
      <c r="G774" s="12"/>
    </row>
    <row r="775">
      <c r="F775" s="12"/>
      <c r="G775" s="12"/>
    </row>
    <row r="776">
      <c r="F776" s="12"/>
      <c r="G776" s="12"/>
    </row>
    <row r="777">
      <c r="F777" s="12"/>
      <c r="G777" s="12"/>
    </row>
    <row r="778">
      <c r="F778" s="12"/>
      <c r="G778" s="12"/>
    </row>
    <row r="779">
      <c r="F779" s="12"/>
      <c r="G779" s="12"/>
    </row>
    <row r="780">
      <c r="F780" s="12"/>
      <c r="G780" s="12"/>
    </row>
    <row r="781">
      <c r="F781" s="12"/>
      <c r="G781" s="12"/>
    </row>
    <row r="782">
      <c r="F782" s="12"/>
      <c r="G782" s="12"/>
    </row>
    <row r="783">
      <c r="F783" s="12"/>
      <c r="G783" s="12"/>
    </row>
    <row r="784">
      <c r="F784" s="12"/>
      <c r="G784" s="12"/>
    </row>
    <row r="785">
      <c r="F785" s="12"/>
      <c r="G785" s="12"/>
    </row>
    <row r="786">
      <c r="F786" s="12"/>
      <c r="G786" s="12"/>
    </row>
    <row r="787">
      <c r="F787" s="12"/>
      <c r="G787" s="12"/>
    </row>
    <row r="788">
      <c r="F788" s="12"/>
      <c r="G788" s="12"/>
    </row>
    <row r="789">
      <c r="F789" s="12"/>
      <c r="G789" s="12"/>
    </row>
    <row r="790">
      <c r="F790" s="12"/>
      <c r="G790" s="12"/>
    </row>
    <row r="791">
      <c r="F791" s="12"/>
      <c r="G791" s="12"/>
    </row>
    <row r="792">
      <c r="F792" s="12"/>
      <c r="G792" s="12"/>
    </row>
    <row r="793">
      <c r="F793" s="12"/>
      <c r="G793" s="12"/>
    </row>
    <row r="794">
      <c r="F794" s="12"/>
      <c r="G794" s="12"/>
    </row>
    <row r="795">
      <c r="F795" s="12"/>
      <c r="G795" s="12"/>
    </row>
    <row r="796">
      <c r="F796" s="12"/>
      <c r="G796" s="12"/>
    </row>
    <row r="797">
      <c r="F797" s="12"/>
      <c r="G797" s="12"/>
    </row>
    <row r="798">
      <c r="F798" s="12"/>
      <c r="G798" s="12"/>
    </row>
    <row r="799">
      <c r="F799" s="12"/>
      <c r="G799" s="12"/>
    </row>
    <row r="800">
      <c r="F800" s="12"/>
      <c r="G800" s="12"/>
    </row>
    <row r="801">
      <c r="F801" s="12"/>
      <c r="G801" s="12"/>
    </row>
    <row r="802">
      <c r="F802" s="12"/>
      <c r="G802" s="12"/>
    </row>
    <row r="803">
      <c r="F803" s="12"/>
      <c r="G803" s="12"/>
    </row>
    <row r="804">
      <c r="F804" s="12"/>
      <c r="G804" s="12"/>
    </row>
    <row r="805">
      <c r="F805" s="12"/>
      <c r="G805" s="12"/>
    </row>
    <row r="806">
      <c r="F806" s="12"/>
      <c r="G806" s="12"/>
    </row>
    <row r="807">
      <c r="F807" s="12"/>
      <c r="G807" s="12"/>
    </row>
    <row r="808">
      <c r="F808" s="12"/>
      <c r="G808" s="12"/>
    </row>
    <row r="809">
      <c r="F809" s="12"/>
      <c r="G809" s="12"/>
    </row>
    <row r="810">
      <c r="F810" s="12"/>
      <c r="G810" s="12"/>
    </row>
    <row r="811">
      <c r="F811" s="12"/>
      <c r="G811" s="12"/>
    </row>
    <row r="812">
      <c r="F812" s="12"/>
      <c r="G812" s="12"/>
    </row>
    <row r="813">
      <c r="F813" s="12"/>
      <c r="G813" s="12"/>
    </row>
    <row r="814">
      <c r="F814" s="12"/>
      <c r="G814" s="12"/>
    </row>
    <row r="815">
      <c r="F815" s="12"/>
      <c r="G815" s="12"/>
    </row>
    <row r="816">
      <c r="F816" s="12"/>
      <c r="G816" s="12"/>
    </row>
    <row r="817">
      <c r="F817" s="12"/>
      <c r="G817" s="12"/>
    </row>
    <row r="818">
      <c r="F818" s="12"/>
      <c r="G818" s="12"/>
    </row>
    <row r="819">
      <c r="F819" s="12"/>
      <c r="G819" s="12"/>
    </row>
    <row r="820">
      <c r="F820" s="12"/>
      <c r="G820" s="12"/>
    </row>
    <row r="821">
      <c r="F821" s="12"/>
      <c r="G821" s="12"/>
    </row>
    <row r="822">
      <c r="F822" s="12"/>
      <c r="G822" s="12"/>
    </row>
    <row r="823">
      <c r="F823" s="12"/>
      <c r="G823" s="12"/>
    </row>
    <row r="824">
      <c r="F824" s="12"/>
      <c r="G824" s="12"/>
    </row>
    <row r="825">
      <c r="F825" s="12"/>
      <c r="G825" s="12"/>
    </row>
    <row r="826">
      <c r="F826" s="12"/>
      <c r="G826" s="12"/>
    </row>
    <row r="827">
      <c r="F827" s="12"/>
      <c r="G827" s="12"/>
    </row>
    <row r="828">
      <c r="F828" s="12"/>
      <c r="G828" s="12"/>
    </row>
    <row r="829">
      <c r="F829" s="12"/>
      <c r="G829" s="12"/>
    </row>
    <row r="830">
      <c r="F830" s="12"/>
      <c r="G830" s="12"/>
    </row>
    <row r="831">
      <c r="F831" s="12"/>
      <c r="G831" s="12"/>
    </row>
    <row r="832">
      <c r="F832" s="12"/>
      <c r="G832" s="12"/>
    </row>
    <row r="833">
      <c r="F833" s="12"/>
      <c r="G833" s="12"/>
    </row>
    <row r="834">
      <c r="F834" s="12"/>
      <c r="G834" s="12"/>
    </row>
    <row r="835">
      <c r="F835" s="12"/>
      <c r="G835" s="12"/>
    </row>
    <row r="836">
      <c r="F836" s="12"/>
      <c r="G836" s="12"/>
    </row>
    <row r="837">
      <c r="F837" s="12"/>
      <c r="G837" s="12"/>
    </row>
    <row r="838">
      <c r="F838" s="12"/>
      <c r="G838" s="12"/>
    </row>
    <row r="839">
      <c r="F839" s="12"/>
      <c r="G839" s="12"/>
    </row>
    <row r="840">
      <c r="F840" s="12"/>
      <c r="G840" s="12"/>
    </row>
    <row r="841">
      <c r="F841" s="12"/>
      <c r="G841" s="12"/>
    </row>
    <row r="842">
      <c r="F842" s="12"/>
      <c r="G842" s="12"/>
    </row>
    <row r="843">
      <c r="F843" s="12"/>
      <c r="G843" s="12"/>
    </row>
    <row r="844">
      <c r="F844" s="12"/>
      <c r="G844" s="12"/>
    </row>
    <row r="845">
      <c r="F845" s="12"/>
      <c r="G845" s="12"/>
    </row>
    <row r="846">
      <c r="F846" s="12"/>
      <c r="G846" s="12"/>
    </row>
    <row r="847">
      <c r="F847" s="12"/>
      <c r="G847" s="12"/>
    </row>
    <row r="848">
      <c r="F848" s="12"/>
      <c r="G848" s="12"/>
    </row>
    <row r="849">
      <c r="F849" s="12"/>
      <c r="G849" s="12"/>
    </row>
    <row r="850">
      <c r="F850" s="12"/>
      <c r="G850" s="12"/>
    </row>
    <row r="851">
      <c r="F851" s="12"/>
      <c r="G851" s="12"/>
    </row>
    <row r="852">
      <c r="F852" s="12"/>
      <c r="G852" s="12"/>
    </row>
    <row r="853">
      <c r="F853" s="12"/>
      <c r="G853" s="12"/>
    </row>
    <row r="854">
      <c r="F854" s="12"/>
      <c r="G854" s="12"/>
    </row>
    <row r="855">
      <c r="F855" s="12"/>
      <c r="G855" s="12"/>
    </row>
    <row r="856">
      <c r="F856" s="12"/>
      <c r="G856" s="12"/>
    </row>
    <row r="857">
      <c r="F857" s="12"/>
      <c r="G857" s="12"/>
    </row>
    <row r="858">
      <c r="F858" s="12"/>
      <c r="G858" s="12"/>
    </row>
    <row r="859">
      <c r="F859" s="12"/>
      <c r="G859" s="12"/>
    </row>
    <row r="860">
      <c r="F860" s="12"/>
      <c r="G860" s="12"/>
    </row>
    <row r="861">
      <c r="F861" s="12"/>
      <c r="G861" s="12"/>
    </row>
    <row r="862">
      <c r="F862" s="12"/>
      <c r="G862" s="12"/>
    </row>
    <row r="863">
      <c r="F863" s="12"/>
      <c r="G863" s="12"/>
    </row>
    <row r="864">
      <c r="F864" s="12"/>
      <c r="G864" s="12"/>
    </row>
    <row r="865">
      <c r="F865" s="12"/>
      <c r="G865" s="12"/>
    </row>
    <row r="866">
      <c r="F866" s="12"/>
      <c r="G866" s="12"/>
    </row>
    <row r="867">
      <c r="F867" s="12"/>
      <c r="G867" s="12"/>
    </row>
    <row r="868">
      <c r="F868" s="12"/>
      <c r="G868" s="12"/>
    </row>
    <row r="869">
      <c r="F869" s="12"/>
      <c r="G869" s="12"/>
    </row>
    <row r="870">
      <c r="F870" s="12"/>
      <c r="G870" s="12"/>
    </row>
    <row r="871">
      <c r="F871" s="12"/>
      <c r="G871" s="12"/>
    </row>
    <row r="872">
      <c r="F872" s="12"/>
      <c r="G872" s="12"/>
    </row>
    <row r="873">
      <c r="F873" s="12"/>
      <c r="G873" s="12"/>
    </row>
    <row r="874">
      <c r="F874" s="12"/>
      <c r="G874" s="12"/>
    </row>
    <row r="875">
      <c r="F875" s="12"/>
      <c r="G875" s="12"/>
    </row>
    <row r="876">
      <c r="F876" s="12"/>
      <c r="G876" s="12"/>
    </row>
    <row r="877">
      <c r="F877" s="12"/>
      <c r="G877" s="12"/>
    </row>
    <row r="878">
      <c r="F878" s="12"/>
      <c r="G878" s="12"/>
    </row>
    <row r="879">
      <c r="F879" s="12"/>
      <c r="G879" s="12"/>
    </row>
    <row r="880">
      <c r="F880" s="12"/>
      <c r="G880" s="12"/>
    </row>
    <row r="881">
      <c r="F881" s="12"/>
      <c r="G881" s="12"/>
    </row>
    <row r="882">
      <c r="F882" s="12"/>
      <c r="G882" s="12"/>
    </row>
    <row r="883">
      <c r="F883" s="12"/>
      <c r="G883" s="12"/>
    </row>
    <row r="884">
      <c r="F884" s="12"/>
      <c r="G884" s="12"/>
    </row>
    <row r="885">
      <c r="F885" s="12"/>
      <c r="G885" s="12"/>
    </row>
    <row r="886">
      <c r="F886" s="12"/>
      <c r="G886" s="12"/>
    </row>
    <row r="887">
      <c r="F887" s="12"/>
      <c r="G887" s="12"/>
    </row>
    <row r="888">
      <c r="F888" s="12"/>
      <c r="G888" s="12"/>
    </row>
    <row r="889">
      <c r="F889" s="12"/>
      <c r="G889" s="12"/>
    </row>
    <row r="890">
      <c r="F890" s="12"/>
      <c r="G890" s="12"/>
    </row>
    <row r="891">
      <c r="F891" s="12"/>
      <c r="G891" s="12"/>
    </row>
    <row r="892">
      <c r="F892" s="12"/>
      <c r="G892" s="12"/>
    </row>
    <row r="893">
      <c r="F893" s="12"/>
      <c r="G893" s="12"/>
    </row>
    <row r="894">
      <c r="F894" s="12"/>
      <c r="G894" s="12"/>
    </row>
    <row r="895">
      <c r="F895" s="12"/>
      <c r="G895" s="12"/>
    </row>
    <row r="896">
      <c r="F896" s="12"/>
      <c r="G896" s="12"/>
    </row>
    <row r="897">
      <c r="F897" s="12"/>
      <c r="G897" s="12"/>
    </row>
    <row r="898">
      <c r="F898" s="12"/>
      <c r="G898" s="12"/>
    </row>
    <row r="899">
      <c r="F899" s="12"/>
      <c r="G899" s="12"/>
    </row>
    <row r="900">
      <c r="F900" s="12"/>
      <c r="G900" s="12"/>
    </row>
    <row r="901">
      <c r="F901" s="12"/>
      <c r="G901" s="12"/>
    </row>
    <row r="902">
      <c r="F902" s="12"/>
      <c r="G902" s="12"/>
    </row>
    <row r="903">
      <c r="F903" s="12"/>
      <c r="G903" s="12"/>
    </row>
    <row r="904">
      <c r="F904" s="12"/>
      <c r="G904" s="12"/>
    </row>
    <row r="905">
      <c r="F905" s="12"/>
      <c r="G905" s="12"/>
    </row>
    <row r="906">
      <c r="F906" s="12"/>
      <c r="G906" s="12"/>
    </row>
    <row r="907">
      <c r="F907" s="12"/>
      <c r="G907" s="12"/>
    </row>
    <row r="908">
      <c r="F908" s="12"/>
      <c r="G908" s="12"/>
    </row>
    <row r="909">
      <c r="F909" s="12"/>
      <c r="G909" s="12"/>
    </row>
    <row r="910">
      <c r="F910" s="12"/>
      <c r="G910" s="12"/>
    </row>
    <row r="911">
      <c r="F911" s="12"/>
      <c r="G911" s="12"/>
    </row>
    <row r="912">
      <c r="F912" s="12"/>
      <c r="G912" s="12"/>
    </row>
    <row r="913">
      <c r="F913" s="12"/>
      <c r="G913" s="12"/>
    </row>
    <row r="914">
      <c r="F914" s="12"/>
      <c r="G914" s="12"/>
    </row>
    <row r="915">
      <c r="F915" s="12"/>
      <c r="G915" s="12"/>
    </row>
    <row r="916">
      <c r="F916" s="12"/>
      <c r="G916" s="12"/>
    </row>
    <row r="917">
      <c r="F917" s="12"/>
      <c r="G917" s="12"/>
    </row>
    <row r="918">
      <c r="F918" s="12"/>
      <c r="G918" s="12"/>
    </row>
    <row r="919">
      <c r="F919" s="12"/>
      <c r="G919" s="12"/>
    </row>
    <row r="920">
      <c r="F920" s="12"/>
      <c r="G920" s="12"/>
    </row>
    <row r="921">
      <c r="F921" s="12"/>
      <c r="G921" s="12"/>
    </row>
    <row r="922">
      <c r="F922" s="12"/>
      <c r="G922" s="12"/>
    </row>
    <row r="923">
      <c r="F923" s="12"/>
      <c r="G923" s="12"/>
    </row>
    <row r="924">
      <c r="F924" s="12"/>
      <c r="G924" s="12"/>
    </row>
    <row r="925">
      <c r="F925" s="12"/>
      <c r="G925" s="12"/>
    </row>
    <row r="926">
      <c r="F926" s="12"/>
      <c r="G926" s="12"/>
    </row>
    <row r="927">
      <c r="F927" s="12"/>
      <c r="G927" s="12"/>
    </row>
    <row r="928">
      <c r="F928" s="12"/>
      <c r="G928" s="12"/>
    </row>
    <row r="929">
      <c r="F929" s="12"/>
      <c r="G929" s="12"/>
    </row>
    <row r="930">
      <c r="F930" s="12"/>
      <c r="G930" s="12"/>
    </row>
    <row r="931">
      <c r="F931" s="12"/>
      <c r="G931" s="12"/>
    </row>
    <row r="932">
      <c r="F932" s="12"/>
      <c r="G932" s="12"/>
    </row>
    <row r="933">
      <c r="F933" s="12"/>
      <c r="G933" s="12"/>
    </row>
    <row r="934">
      <c r="F934" s="12"/>
      <c r="G934" s="12"/>
    </row>
    <row r="935">
      <c r="F935" s="12"/>
      <c r="G935" s="12"/>
    </row>
    <row r="936">
      <c r="F936" s="12"/>
      <c r="G936" s="12"/>
    </row>
    <row r="937">
      <c r="F937" s="12"/>
      <c r="G937" s="12"/>
    </row>
    <row r="938">
      <c r="F938" s="12"/>
      <c r="G938" s="12"/>
    </row>
    <row r="939">
      <c r="F939" s="12"/>
      <c r="G939" s="12"/>
    </row>
    <row r="940">
      <c r="F940" s="12"/>
      <c r="G940" s="12"/>
    </row>
    <row r="941">
      <c r="F941" s="12"/>
      <c r="G941" s="12"/>
    </row>
    <row r="942">
      <c r="F942" s="12"/>
      <c r="G942" s="12"/>
    </row>
    <row r="943">
      <c r="F943" s="12"/>
      <c r="G943" s="12"/>
    </row>
    <row r="944">
      <c r="F944" s="12"/>
      <c r="G944" s="12"/>
    </row>
    <row r="945">
      <c r="F945" s="12"/>
      <c r="G945" s="12"/>
    </row>
    <row r="946">
      <c r="F946" s="12"/>
      <c r="G946" s="12"/>
    </row>
    <row r="947">
      <c r="F947" s="12"/>
      <c r="G947" s="12"/>
    </row>
    <row r="948">
      <c r="F948" s="12"/>
      <c r="G948" s="12"/>
    </row>
    <row r="949">
      <c r="F949" s="12"/>
      <c r="G949" s="12"/>
    </row>
    <row r="950">
      <c r="F950" s="12"/>
      <c r="G950" s="12"/>
    </row>
    <row r="951">
      <c r="F951" s="12"/>
      <c r="G951" s="12"/>
    </row>
    <row r="952">
      <c r="F952" s="12"/>
      <c r="G952" s="12"/>
    </row>
    <row r="953">
      <c r="F953" s="12"/>
      <c r="G953" s="12"/>
    </row>
    <row r="954">
      <c r="F954" s="12"/>
      <c r="G954" s="12"/>
    </row>
    <row r="955">
      <c r="F955" s="12"/>
      <c r="G955" s="12"/>
    </row>
    <row r="956">
      <c r="F956" s="12"/>
      <c r="G956" s="12"/>
    </row>
    <row r="957">
      <c r="F957" s="12"/>
      <c r="G957" s="12"/>
    </row>
    <row r="958">
      <c r="F958" s="12"/>
      <c r="G958" s="12"/>
    </row>
    <row r="959">
      <c r="F959" s="12"/>
      <c r="G959" s="12"/>
    </row>
    <row r="960">
      <c r="F960" s="12"/>
      <c r="G960" s="12"/>
    </row>
    <row r="961">
      <c r="F961" s="12"/>
      <c r="G961" s="12"/>
    </row>
    <row r="962">
      <c r="F962" s="12"/>
      <c r="G962" s="12"/>
    </row>
    <row r="963">
      <c r="F963" s="12"/>
      <c r="G963" s="12"/>
    </row>
    <row r="964">
      <c r="F964" s="12"/>
      <c r="G964" s="12"/>
    </row>
    <row r="965">
      <c r="F965" s="12"/>
      <c r="G965" s="12"/>
    </row>
    <row r="966">
      <c r="F966" s="12"/>
      <c r="G966" s="12"/>
    </row>
    <row r="967">
      <c r="F967" s="12"/>
      <c r="G967" s="12"/>
    </row>
    <row r="968">
      <c r="F968" s="12"/>
      <c r="G968" s="12"/>
    </row>
    <row r="969">
      <c r="F969" s="12"/>
      <c r="G969" s="12"/>
    </row>
    <row r="970">
      <c r="F970" s="12"/>
      <c r="G970" s="12"/>
    </row>
    <row r="971">
      <c r="F971" s="12"/>
      <c r="G971" s="12"/>
    </row>
    <row r="972">
      <c r="F972" s="12"/>
      <c r="G972" s="12"/>
    </row>
    <row r="973">
      <c r="F973" s="12"/>
      <c r="G973" s="12"/>
    </row>
    <row r="974">
      <c r="F974" s="12"/>
      <c r="G974" s="12"/>
    </row>
    <row r="975">
      <c r="F975" s="12"/>
      <c r="G975" s="12"/>
    </row>
    <row r="976">
      <c r="F976" s="12"/>
      <c r="G976" s="12"/>
    </row>
    <row r="977">
      <c r="F977" s="12"/>
      <c r="G977" s="12"/>
    </row>
    <row r="978">
      <c r="F978" s="12"/>
      <c r="G978" s="12"/>
    </row>
    <row r="979">
      <c r="F979" s="12"/>
      <c r="G979" s="12"/>
    </row>
    <row r="980">
      <c r="F980" s="12"/>
      <c r="G980" s="12"/>
    </row>
    <row r="981">
      <c r="F981" s="12"/>
      <c r="G981" s="12"/>
    </row>
    <row r="982">
      <c r="F982" s="12"/>
      <c r="G982" s="12"/>
    </row>
    <row r="983">
      <c r="F983" s="12"/>
      <c r="G983" s="12"/>
    </row>
    <row r="984">
      <c r="F984" s="12"/>
      <c r="G984" s="12"/>
    </row>
    <row r="985">
      <c r="F985" s="12"/>
      <c r="G985" s="12"/>
    </row>
    <row r="986">
      <c r="F986" s="12"/>
      <c r="G986" s="12"/>
    </row>
    <row r="987">
      <c r="F987" s="12"/>
      <c r="G987" s="12"/>
    </row>
    <row r="988">
      <c r="F988" s="12"/>
      <c r="G988" s="12"/>
    </row>
    <row r="989">
      <c r="F989" s="12"/>
      <c r="G989" s="12"/>
    </row>
    <row r="990">
      <c r="F990" s="12"/>
      <c r="G990" s="12"/>
    </row>
    <row r="991">
      <c r="F991" s="12"/>
      <c r="G991" s="12"/>
    </row>
    <row r="992">
      <c r="F992" s="12"/>
      <c r="G992" s="12"/>
    </row>
    <row r="993">
      <c r="F993" s="12"/>
      <c r="G993" s="12"/>
    </row>
    <row r="994">
      <c r="F994" s="12"/>
      <c r="G994" s="12"/>
    </row>
    <row r="995">
      <c r="F995" s="12"/>
      <c r="G995" s="12"/>
    </row>
    <row r="996">
      <c r="F996" s="12"/>
      <c r="G996" s="12"/>
    </row>
    <row r="997">
      <c r="F997" s="12"/>
      <c r="G997" s="12"/>
    </row>
    <row r="998">
      <c r="F998" s="12"/>
      <c r="G998" s="12"/>
    </row>
    <row r="999">
      <c r="F999" s="12"/>
      <c r="G999" s="12"/>
    </row>
  </sheetData>
  <drawing r:id="rId1"/>
</worksheet>
</file>